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15" documentId="13_ncr:1_{471232EB-3AAB-4D08-BC1C-7B7CD1C1D853}" xr6:coauthVersionLast="47" xr6:coauthVersionMax="47" xr10:uidLastSave="{AD65BE4F-F1BF-4F83-BAED-91D17FA905CE}"/>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2" l="1"/>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<sst xmlns="http://schemas.openxmlformats.org/spreadsheetml/2006/main" count="592" uniqueCount="404">
  <si>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</si>
  <si>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</si>
  <si>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</si>
  <si>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</si>
  <si>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</si>
  <si>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</si>
  <si>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</si>
  <si>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</si>
  <si>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</si>
  <si>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</si>
  <si>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</si>
  <si>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</si>
  <si>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</si>
  <si>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</si>
  <si>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</si>
  <si>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</si>
  <si>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</si>
  <si>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</si>
  <si>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</si>
  <si>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</si>
  <si>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</si>
  <si>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</si>
  <si>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</si>
  <si>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</si>
  <si>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</si>
  <si>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</si>
  <si>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</si>
  <si>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</si>
  <si>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</si>
  <si>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</si>
  <si>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</si>
  <si>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</si>
  <si>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</si>
  <si>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</si>
  <si>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</si>
  <si>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</si>
  <si>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</si>
  <si>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</si>
  <si>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</si>
  <si>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</si>
  <si>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</si>
  <si>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</si>
  <si>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</si>
  <si>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</si>
  <si>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</si>
  <si>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</si>
  <si>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</si>
  <si>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</si>
  <si>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</si>
  <si>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</si>
  <si>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</si>
  <si>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</si>
  <si>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</si>
  <si>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</si>
  <si>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</si>
  <si>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</si>
  <si>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</si>
  <si>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</si>
  <si>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</si>
  <si>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</si>
  <si>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</si>
  <si>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</si>
  <si>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</si>
  <si>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</si>
  <si>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</si>
  <si>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</si>
  <si>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</si>
  <si>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</si>
  <si>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</si>
  <si>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</si>
  <si>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</si>
  <si>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</si>
  <si>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</si>
  <si>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</si>
  <si>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</si>
  <si>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</si>
  <si>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</si>
  <si>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</si>
  <si>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</si>
  <si>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</si>
  <si>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</si>
  <si>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</si>
  <si>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</si>
  <si>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</si>
  <si>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</si>
  <si>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</si>
  <si>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</si>
  <si>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</si>
  <si>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</si>
  <si>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</si>
  <si>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</si>
  <si>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</si>
  <si>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</si>
  <si>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</si>
  <si>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</si>
  <si>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</si>
  <si>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</si>
  <si>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</si>
  <si>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</si>
  <si>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</si>
  <si>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</si>
  <si>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</si>
  <si>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</si>
  <si>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</si>
  <si>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</si>
  <si>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</si>
  <si>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</si>
  <si>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</si>
  <si>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</si>
  <si>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</si>
  <si>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</si>
  <si>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</si>
  <si>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</si>
  <si>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</si>
  <si>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</si>
  <si>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</si>
  <si>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</si>
  <si>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</si>
  <si>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</si>
  <si>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</si>
  <si>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</si>
  <si>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</si>
  <si>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</si>
  <si>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</si>
  <si>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</si>
  <si>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</si>
  <si>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</si>
  <si>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</si>
  <si>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</si>
  <si>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</si>
  <si>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</si>
  <si>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</si>
  <si>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</si>
  <si>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</si>
  <si>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</si>
  <si>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</si>
  <si>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</si>
  <si>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</si>
  <si>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</si>
  <si>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</si>
  <si>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</si>
  <si>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</si>
  <si>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</si>
  <si>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</si>
  <si>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</si>
  <si>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</si>
  <si>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</si>
  <si>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</si>
  <si>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</si>
  <si>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</si>
  <si>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</si>
  <si>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</si>
  <si>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</si>
  <si>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</si>
  <si>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</si>
  <si>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</si>
  <si>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</si>
  <si>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</si>
  <si>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</si>
  <si>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</si>
  <si>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</si>
  <si>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</si>
  <si>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</si>
  <si>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</si>
  <si>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</si>
  <si>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</si>
  <si>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</si>
  <si>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</si>
  <si>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</si>
  <si>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</si>
  <si>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</si>
  <si>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</si>
  <si>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</si>
  <si>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</si>
  <si>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</si>
  <si>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</si>
  <si>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</si>
  <si>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</si>
  <si>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</si>
  <si>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</si>
  <si>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</si>
  <si>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</si>
  <si>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</si>
  <si>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</si>
  <si>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</si>
  <si>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</si>
  <si>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</si>
  <si>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</si>
  <si>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</si>
  <si>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</si>
  <si>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</si>
  <si>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</si>
  <si>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</si>
  <si>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</si>
  <si>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</si>
  <si>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</si>
  <si>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</si>
  <si>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</si>
  <si>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</si>
  <si>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</si>
  <si>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</si>
  <si>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</si>
  <si>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</si>
  <si>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</si>
  <si>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</si>
  <si>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</si>
  <si>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</si>
  <si>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</si>
  <si>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</si>
  <si>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</si>
  <si>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</si>
  <si>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</si>
  <si>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</si>
  <si>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</si>
  <si>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</si>
  <si>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</si>
  <si>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</si>
  <si>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</si>
  <si>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</si>
  <si>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</si>
  <si>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</si>
  <si>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</si>
  <si>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</si>
  <si>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</si>
  <si>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</si>
  <si>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</si>
  <si>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</si>
  <si>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</si>
  <si>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</si>
  <si>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</si>
  <si>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</si>
  <si>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</si>
  <si>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</si>
  <si>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</si>
  <si>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</si>
  <si>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</si>
  <si>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</si>
  <si>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</si>
  <si>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</si>
  <si>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</si>
  <si>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</si>
  <si>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</si>
  <si>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</si>
  <si>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</si>
  <si>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</si>
  <si>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</si>
  <si>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</si>
  <si>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</si>
  <si>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</si>
  <si>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</si>
  <si>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</si>
  <si>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</si>
  <si>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</si>
  <si>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</si>
  <si>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</si>
  <si>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</si>
  <si>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</si>
  <si>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</si>
  <si>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</si>
  <si>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</si>
  <si>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</si>
  <si>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</si>
  <si>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</si>
  <si>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</si>
  <si>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</si>
  <si>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</si>
  <si>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</si>
  <si>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</si>
  <si>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</si>
  <si>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</si>
  <si>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</si>
  <si>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</si>
  <si>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</si>
  <si>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</si>
  <si>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</si>
  <si>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</si>
  <si>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</si>
  <si>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</si>
  <si>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</si>
  <si>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</si>
  <si>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</si>
  <si>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</si>
  <si>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</si>
  <si>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</si>
  <si>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</si>
  <si>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</si>
  <si>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</si>
  <si>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</si>
  <si>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</si>
  <si>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</si>
  <si>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</si>
  <si>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</si>
  <si>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</si>
  <si>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</si>
  <si>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</si>
  <si>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</si>
  <si>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</si>
  <si>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</si>
  <si>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</si>
  <si>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</si>
  <si>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</si>
  <si>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</si>
  <si>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</si>
  <si>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</si>
  <si>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</si>
  <si>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</si>
  <si>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</si>
  <si>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</si>
  <si>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</si>
  <si>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</si>
  <si>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</si>
  <si>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</si>
  <si>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</si>
  <si>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</si>
  <si>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</si>
  <si>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</si>
  <si>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</si>
  <si>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</si>
  <si>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</si>
  <si>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</si>
  <si>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</si>
  <si>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</si>
  <si>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</si>
  <si>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</si>
  <si>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</si>
  <si>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</si>
  <si>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</si>
  <si>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</si>
  <si>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</si>
  <si>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</si>
  <si>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</si>
  <si>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</si>
  <si>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</si>
  <si>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</si>
  <si>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</si>
  <si>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</si>
  <si>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</si>
  <si>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</si>
  <si>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</si>
  <si>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</si>
  <si>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</si>
  <si>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</si>
  <si>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</si>
  <si>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</si>
  <si>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</si>
  <si>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</si>
  <si>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</si>
  <si>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</si>
  <si>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</si>
  <si>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</si>
  <si>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</si>
  <si>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</si>
  <si>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</si>
  <si>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</si>
  <si>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</si>
  <si>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</si>
  <si>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</si>
  <si>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</si>
  <si>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</si>
  <si>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</si>
  <si>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</si>
  <si>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</si>
  <si>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</si>
  <si>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</si>
  <si>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</si>
  <si>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</si>
  <si>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</si>
  <si>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</si>
  <si>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</si>
  <si>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</si>
  <si>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</si>
  <si>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</si>
  <si>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</si>
  <si>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</si>
  <si>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</si>
  <si>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</si>
  <si>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</si>
  <si>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</si>
  <si>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</si>
  <si>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</si>
  <si>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</si>
  <si>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</si>
  <si>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</si>
  <si>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</si>
  <si>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</si>
  <si>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</si>
  <si>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</si>
  <si>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</si>
  <si>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</si>
  <si>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</si>
  <si>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</si>
  <si>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</si>
  <si>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</si>
  <si>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</si>
  <si>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</si>
  <si>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</si>
  <si>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</si>
  <si>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</si>
  <si>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Prix de l'unité</t>
  </si>
  <si>
    <t>kWh par unité</t>
  </si>
  <si>
    <t>Chaudière d'appoint au gaz à condensation 0,1256€ le kWh</t>
  </si>
  <si>
    <t>Seuil de durée d'activation (mn)</t>
  </si>
  <si>
    <t>Seuil de fonctionnement (%)</t>
  </si>
  <si>
    <t>kWh de gaz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</si>
</sst>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4">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9" fontId="0" fillId="0" borderId="0" xfId="0" applyNumberFormat="1"/>
  </cellXfs>
  <cellStyles count="3">
    <cellStyle name="Monétaire" xfId="1" builtinId="4"/>
    <cellStyle name="Normal" xfId="0" builtinId="0"/>
    <cellStyle name="Pourcentage" xfId="2" builtinId="5"/>
  </cellStyles>
  <dxfs count="30">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5" totalsRowDxfId="24"/>
    <tableColumn id="5" xr3:uid="{CA26B6F8-88AD-418A-B213-749ABA66E926}" name="Description longue"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2"/>
    <tableColumn id="1" xr3:uid="{788DBA8C-5B77-4079-8161-FA45C58518AE}" name="Description"/>
    <tableColumn id="2" xr3:uid="{BE5ACA99-AEAF-4E51-BE0A-B3FB8FCCF08B}" name="Tantièmes copropriété" dataDxfId="21">
      <calculatedColumnFormula>7/10000</calculatedColumnFormula>
    </tableColumn>
    <tableColumn id="8" xr3:uid="{D62FAA89-C46E-4AF6-A14F-7FD6F46E7F00}" name="Tantièmes ascenseur 1-1" dataDxfId="20"/>
    <tableColumn id="9" xr3:uid="{C3B9BDED-CB2A-4305-9CBF-418F5971AC1E}" name="Tantièmes ascenseur 1-2" dataDxfId="19"/>
    <tableColumn id="10" xr3:uid="{C2291DE1-C707-4F83-846E-F914B4B42E52}" name="Tantièmes ascenseur 2" dataDxfId="18"/>
    <tableColumn id="11" xr3:uid="{4F70F08A-4C2F-41B0-88EB-711B1A0760CD}" name="Tantièmes ascenseur 3" dataDxfId="17"/>
    <tableColumn id="14" xr3:uid="{80D23396-716C-46AC-9B55-BCBC6C981351}" name="Tantièmes chauffage" dataDxfId="16"/>
    <tableColumn id="15" xr3:uid="{E3955139-B619-4DD0-8FC1-ECA97048DFE4}" name="Tantièmes Batiment 1" dataDxfId="15"/>
    <tableColumn id="16" xr3:uid="{C73E9407-A858-4EF7-81C2-6C70C4B157A2}" name="Tantièmes Batiment 2" dataDxfId="14"/>
    <tableColumn id="17" xr3:uid="{A07338CA-0096-4091-89B2-A46FF2D323C2}" name="Tantièmes Batiment 3" dataDxfId="13"/>
    <tableColumn id="18" xr3:uid="{7A3012D8-2375-4F10-9E84-F2F5060C6A99}" name="Tantièmes Hall 1-1" dataDxfId="12"/>
    <tableColumn id="19" xr3:uid="{67961B6E-B577-4A49-B099-623FB85519B4}" name="Tantièmes Hall 1-2" dataDxfId="11"/>
    <tableColumn id="20" xr3:uid="{03C201C1-F8AA-4D3C-AEBC-425B180BC2D7}" name="Tantièmes Hall 2" dataDxfId="10"/>
    <tableColumn id="21" xr3:uid="{4826FC05-81A9-4020-8D1D-83D3D5C5A05A}" name="Tantièmes Logement/Stationnements" dataDxfId="9"/>
    <tableColumn id="6" xr3:uid="{7B87787E-3595-42D5-B815-AF76B67432D8}" name="Tantièmes Stationnement"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7" totalsRowShown="0">
  <autoFilter ref="A1:I37" xr:uid="{AFF80A4D-E18B-42B5-9271-DD654E188D32}"/>
  <sortState xmlns:xlrd2="http://schemas.microsoft.com/office/spreadsheetml/2017/richdata2" ref="A2:H37">
    <sortCondition ref="B1:B37"/>
  </sortState>
  <tableColumns count="9">
    <tableColumn id="1" xr3:uid="{7753A616-C6B5-4B02-AE3F-2A95253630B8}" name="Type de prestation" dataDxfId="7"/>
    <tableColumn id="2" xr3:uid="{D7B6EA29-CA0A-4C24-9A81-3DF01785BD0C}" name="Label de la prestation" dataDxfId="6"/>
    <tableColumn id="8" xr3:uid="{91FE62B8-BF79-4277-91C2-4B3C13901105}" name="ID prestation" dataDxfId="5"/>
    <tableColumn id="3" xr3:uid="{2ADF6FF1-1416-43FA-A9BF-E696654CC8CD}" name="Prestataire"/>
    <tableColumn id="4" xr3:uid="{1C295B62-0191-41FA-9660-5BADE532BEE7}" name="Cout" dataDxfId="4"/>
    <tableColumn id="5" xr3:uid="{1E3C456B-12BB-4B06-B366-57CE3DA87819}" name="Taxes" dataDxfId="3"/>
    <tableColumn id="6" xr3:uid="{20997A37-E6E3-4308-9ACD-8D77B289D813}" name="Total TTC" dataDxfId="2">
      <calculatedColumnFormula>IF(Prestations[[#This Row],[Taxes]]="TTC",Prestations[[#This Row],[Cout]],Prestations[[#This Row],[Cout]]*1.2)</calculatedColumnFormula>
    </tableColumn>
    <tableColumn id="7" xr3:uid="{6BDB0ED6-23A7-4E1A-A654-9E18B0DA38B5}" name="Description" dataDxfId="1"/>
    <tableColumn id="9" xr3:uid="{C919E254-DE7F-4D3B-8CF6-79E643BBF97F}" name="Prestation choisie actuellement"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29"/>
    <tableColumn id="7" xr3:uid="{39B6FB9A-9DCB-412D-8CBD-94E321E39A50}" name="Unité" dataDxfId="28"/>
    <tableColumn id="8" xr3:uid="{C769AD0E-5A43-462D-8737-CE59FA9E9F57}" name="Prix de l'unité" dataDxfId="27"/>
    <tableColumn id="9" xr3:uid="{C32F2A17-C994-4DCC-A33C-2604586EDB4F}" name="kWh par unité" dataDxfId="26"/>
    <tableColumn id="4" xr3:uid="{FECEDA0B-3F17-4D04-AB3F-B1B848AA5DB2}" name="Production maximum en kW"/>
    <tableColumn id="6" xr3:uid="{F8EB0843-7F05-427F-9B41-0852730F32C9}" name="Description"/>
    <tableColumn id="10" xr3:uid="{9F9F9E98-6D66-4867-A354-22539BFC6A70}" name="Seuil de fonctionnement (%)"/>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workbookViewId="0">
      <selection activeCell="F2" sqref="F2"/>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c r="F34" s="2"/>
    </row>
    <row r="35" spans="1:6" x14ac:dyDescent="0.25">
      <c r="A35" t="s">
        <v>145</v>
      </c>
      <c r="B35" t="s">
        <v>210</v>
      </c>
      <c r="C35" s="1" t="s">
        <v>209</v>
      </c>
      <c r="D35" t="s">
        <v>211</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7"/>
  <sheetViews>
    <sheetView tabSelected="1" topLeftCell="A12" workbookViewId="0">
      <selection activeCell="B11" sqref="B11"/>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98.85546875" style="2" customWidth="1"/>
    <col min="9" max="9" width="48.85546875"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ht="30"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2</v>
      </c>
      <c r="G9" s="4">
        <f>IF(Prestations[[#This Row],[Taxes]]="TTC",Prestations[[#This Row],[Cout]],Prestations[[#This Row],[Cout]]*1.2)</f>
        <v>16750</v>
      </c>
      <c r="H9" s="2" t="s">
        <v>185</v>
      </c>
    </row>
    <row r="10" spans="1:9" ht="30" x14ac:dyDescent="0.25">
      <c r="A10" s="2" t="s">
        <v>20</v>
      </c>
      <c r="B10" s="2" t="s">
        <v>187</v>
      </c>
      <c r="C10" t="s">
        <v>72</v>
      </c>
      <c r="D10" t="s">
        <v>80</v>
      </c>
      <c r="E10" s="4">
        <f>887</f>
        <v>887</v>
      </c>
      <c r="F10" s="6" t="s">
        <v>2</v>
      </c>
      <c r="G10" s="4">
        <f>IF(Prestations[[#This Row],[Taxes]]="TTC",Prestations[[#This Row],[Cout]],Prestations[[#This Row],[Cout]]*1.2)</f>
        <v>887</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60" x14ac:dyDescent="0.25">
      <c r="A16" s="2" t="s">
        <v>18</v>
      </c>
      <c r="B16" s="2" t="s">
        <v>123</v>
      </c>
      <c r="C16" t="s">
        <v>73</v>
      </c>
      <c r="D16" t="s">
        <v>109</v>
      </c>
      <c r="E16" s="4">
        <v>516</v>
      </c>
      <c r="F16" s="6" t="s">
        <v>2</v>
      </c>
      <c r="G16" s="4">
        <f>IF(Prestations[[#This Row],[Taxes]]="TTC",Prestations[[#This Row],[Cout]],Prestations[[#This Row],[Cout]]*1.2)</f>
        <v>516</v>
      </c>
      <c r="H16" s="2" t="s">
        <v>129</v>
      </c>
    </row>
    <row r="17" spans="1:9" ht="60" x14ac:dyDescent="0.25">
      <c r="A17" s="2" t="s">
        <v>18</v>
      </c>
      <c r="B17" s="2" t="s">
        <v>124</v>
      </c>
      <c r="C17" t="s">
        <v>73</v>
      </c>
      <c r="D17" t="s">
        <v>109</v>
      </c>
      <c r="E17" s="4">
        <v>456</v>
      </c>
      <c r="F17" s="6" t="s">
        <v>2</v>
      </c>
      <c r="G17" s="4">
        <f>IF(Prestations[[#This Row],[Taxes]]="TTC",Prestations[[#This Row],[Cout]],Prestations[[#This Row],[Cout]]*1.2)</f>
        <v>456</v>
      </c>
      <c r="H17" s="2" t="s">
        <v>130</v>
      </c>
    </row>
    <row r="18" spans="1:9" ht="16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workbookViewId="0">
      <selection activeCell="B3" sqref="B3"/>
    </sheetView>
  </sheetViews>
  <sheetFormatPr baseColWidth="10" defaultColWidth="9.140625" defaultRowHeight="15" x14ac:dyDescent="0.25"/>
  <cols>
    <col min="1" max="1" width="19.5703125" bestFit="1" customWidth="1"/>
    <col min="2" max="2" width="25.85546875" bestFit="1" customWidth="1"/>
    <col min="3" max="3" width="23.28515625" bestFit="1" customWidth="1"/>
  </cols>
  <sheetData>
    <row r="1" spans="1:3" x14ac:dyDescent="0.25">
      <c r="A1" t="s">
        <v>183</v>
      </c>
      <c r="B1" t="s">
        <v>182</v>
      </c>
      <c r="C1" t="s">
        <v>178</v>
      </c>
    </row>
    <row r="2" spans="1:3" x14ac:dyDescent="0.25">
      <c r="A2" t="s">
        <v>184</v>
      </c>
      <c r="B2">
        <f>5735*2.5</f>
        <v>14337.5</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workbookViewId="0">
      <selection activeCell="H31" sqref="B11:H31"/>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27" customWidth="1"/>
  </cols>
  <sheetData>
    <row r="1" spans="1:10" x14ac:dyDescent="0.25">
      <c r="A1" t="s">
        <v>179</v>
      </c>
      <c r="B1" t="s">
        <v>180</v>
      </c>
      <c r="C1" s="1" t="s">
        <v>181</v>
      </c>
      <c r="D1" s="1" t="s">
        <v>396</v>
      </c>
      <c r="E1" s="1" t="s">
        <v>398</v>
      </c>
      <c r="F1" s="12" t="s">
        <v>399</v>
      </c>
      <c r="G1" t="s">
        <v>186</v>
      </c>
      <c r="H1" t="s">
        <v>136</v>
      </c>
      <c r="I1" t="s">
        <v>402</v>
      </c>
      <c r="J1" t="s">
        <v>401</v>
      </c>
    </row>
    <row r="2" spans="1:10" x14ac:dyDescent="0.25">
      <c r="A2" t="s">
        <v>394</v>
      </c>
      <c r="B2" s="11" t="s">
        <v>70</v>
      </c>
      <c r="C2" s="1">
        <f>392*1.2/4900</f>
        <v>9.6000000000000002E-2</v>
      </c>
      <c r="D2" s="1" t="s">
        <v>397</v>
      </c>
      <c r="E2" s="1">
        <v>392</v>
      </c>
      <c r="F2" s="12">
        <v>4900</v>
      </c>
      <c r="G2">
        <v>120</v>
      </c>
      <c r="H2" t="s">
        <v>393</v>
      </c>
      <c r="I2" s="13">
        <v>0.3</v>
      </c>
      <c r="J2">
        <v>30</v>
      </c>
    </row>
    <row r="3" spans="1:10" x14ac:dyDescent="0.25">
      <c r="A3" t="s">
        <v>395</v>
      </c>
      <c r="B3" t="s">
        <v>71</v>
      </c>
      <c r="C3" s="1">
        <v>0.12559999999999999</v>
      </c>
      <c r="D3" s="1" t="s">
        <v>403</v>
      </c>
      <c r="E3" s="1">
        <v>0.12559999999999999</v>
      </c>
      <c r="F3" s="12">
        <v>1</v>
      </c>
      <c r="G3">
        <v>140</v>
      </c>
      <c r="H3" t="s">
        <v>400</v>
      </c>
      <c r="I3" s="13">
        <v>0.08</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2026-08-15T12:08:29Z</dcterms:modified>
</cp:coreProperties>
</file>