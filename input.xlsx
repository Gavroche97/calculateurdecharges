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https://d.docs.live.net/25a393584c41f6f2/Documents/Mon Patrimoine/Projet Immobilier/2023 Terrasses de Galieni/09 - Copropriété/Site de calcul des charges de copropriété/streamlit-copro-charges/"/>
    </mc:Choice>
  </mc:AlternateContent>
  <xr:revisionPtr revIDLastSave="1366" documentId="13_ncr:1_{471232EB-3AAB-4D08-BC1C-7B7CD1C1D853}" xr6:coauthVersionLast="47" xr6:coauthVersionMax="47" xr10:uidLastSave="{75ADD3F5-8AE0-40BD-9CA2-45A4CD25B930}"/>
  <bookViews>
    <workbookView xWindow="-120" yWindow="-120" windowWidth="38640" windowHeight="21120" activeTab="2" xr2:uid="{00000000-000D-0000-FFFF-FFFF00000000}"/>
  </bookViews>
  <sheets>
    <sheet name="Provisions" sheetId="9" r:id="rId1"/>
    <sheet name="Lots" sheetId="8" r:id="rId2"/>
    <sheet name="Prestations" sheetId="10" r:id="rId3"/>
    <sheet name="Residence" sheetId="12" r:id="rId4"/>
    <sheet name="Chauffage central"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0" l="1"/>
  <c r="E2" i="11"/>
  <c r="I3" i="11"/>
  <c r="B2" i="12"/>
  <c r="C2" i="11"/>
  <c r="G19" i="10"/>
  <c r="G37" i="10"/>
  <c r="G36" i="10"/>
  <c r="G35" i="10"/>
  <c r="G34" i="10"/>
  <c r="G33" i="10"/>
  <c r="G32" i="10"/>
  <c r="G31" i="10"/>
  <c r="G30" i="10"/>
  <c r="G29" i="10"/>
  <c r="G28" i="10"/>
  <c r="G27" i="10"/>
  <c r="E26" i="10"/>
  <c r="G26" i="10" s="1"/>
  <c r="E25" i="10"/>
  <c r="G25" i="10" s="1"/>
  <c r="G24" i="10"/>
  <c r="G23" i="10"/>
  <c r="G22" i="10"/>
  <c r="G21" i="10"/>
  <c r="G20" i="10"/>
  <c r="G18" i="10"/>
  <c r="G17" i="10"/>
  <c r="G16" i="10"/>
  <c r="E15" i="10"/>
  <c r="G15" i="10" s="1"/>
  <c r="E14" i="10"/>
  <c r="G14" i="10" s="1"/>
  <c r="E13" i="10"/>
  <c r="G13" i="10" s="1"/>
  <c r="G12" i="10"/>
  <c r="G11" i="10"/>
  <c r="E10" i="10"/>
  <c r="G10" i="10" s="1"/>
  <c r="E9" i="10"/>
  <c r="G9" i="10" s="1"/>
  <c r="G8" i="10"/>
  <c r="G7" i="10"/>
  <c r="G6" i="10"/>
  <c r="G5" i="10"/>
  <c r="G4" i="10"/>
  <c r="G3" i="10"/>
  <c r="G2" i="10"/>
</calcChain>
</file>

<file path=xl/sharedStrings.xml><?xml version="1.0" encoding="utf-8"?>
<sst xmlns="http://schemas.openxmlformats.org/spreadsheetml/2006/main" count="600" uniqueCount="408">
  <si>
    <t>Taxes</t>
  </si>
  <si>
    <t>HT</t>
  </si>
  <si>
    <t>TTC</t>
  </si>
  <si>
    <t>Total TTC</t>
  </si>
  <si>
    <t>Cout</t>
  </si>
  <si>
    <t>Assurance multirisques immeuble</t>
  </si>
  <si>
    <t>Allianz</t>
  </si>
  <si>
    <t>AXA</t>
  </si>
  <si>
    <t>Assurance de protection juridique</t>
  </si>
  <si>
    <t>Assistance à réception des parties communes par un bureau d'étude, ou architecte</t>
  </si>
  <si>
    <t>ARTCADIA ARCHITECTURE</t>
  </si>
  <si>
    <t>SLA</t>
  </si>
  <si>
    <t>Contrat d'entretien des parties communes</t>
  </si>
  <si>
    <t>Maintenance des ascenceurs</t>
  </si>
  <si>
    <t>Pose de compteur d'énergies thermiques</t>
  </si>
  <si>
    <t>PROXISERVE</t>
  </si>
  <si>
    <t>OCEA</t>
  </si>
  <si>
    <t>ISTA</t>
  </si>
  <si>
    <t>Entretien porte de parking</t>
  </si>
  <si>
    <t>FERMATIC</t>
  </si>
  <si>
    <t>Contrat d'entretien de la chaudière à gaz, bois et granules</t>
  </si>
  <si>
    <t>PROCHALOR</t>
  </si>
  <si>
    <t>DELOSTAL ET THIBAULT</t>
  </si>
  <si>
    <t>(Etude) Installation, gestion et entretien d’une infrastructure collective de recharge pour véhicules électriques et hybrides rechargeables</t>
  </si>
  <si>
    <t>WAAT</t>
  </si>
  <si>
    <t>Microsoft Teams pour réunion</t>
  </si>
  <si>
    <t>Microsoft</t>
  </si>
  <si>
    <t>Lamy</t>
  </si>
  <si>
    <t>Assistance technique d'urgence en cas de sinistres sur les parties communes 24/7</t>
  </si>
  <si>
    <t>Eau froide</t>
  </si>
  <si>
    <t>Electricité</t>
  </si>
  <si>
    <t>Contrat maintenance de nettoyage</t>
  </si>
  <si>
    <t>Contrat maintenance VMC</t>
  </si>
  <si>
    <t>Contrat maintenance extincteurs</t>
  </si>
  <si>
    <t>Contrat maintenance désenfumage</t>
  </si>
  <si>
    <t>Contrat maintenance toitures</t>
  </si>
  <si>
    <t>Contrat désenfumage en circulation</t>
  </si>
  <si>
    <t>Contrat colonne sèche</t>
  </si>
  <si>
    <t>Contrat bloc secours</t>
  </si>
  <si>
    <t>Contrat ferme porte</t>
  </si>
  <si>
    <t>Entretien et réparations sur biens immobiliers</t>
  </si>
  <si>
    <t>Assurance multirisque</t>
  </si>
  <si>
    <t>Assurance protection juridique</t>
  </si>
  <si>
    <t>Rémunération du syndic Honoraires de gestion</t>
  </si>
  <si>
    <t>Frais postaux</t>
  </si>
  <si>
    <t>Frais postaux AG</t>
  </si>
  <si>
    <t>Fourniture granulés bois</t>
  </si>
  <si>
    <t>Gaz</t>
  </si>
  <si>
    <t>Contrat P2 maintenance chaufferie</t>
  </si>
  <si>
    <t>Contrat de maintenance des portails, portes</t>
  </si>
  <si>
    <t>Contrat bacs à sable</t>
  </si>
  <si>
    <t>Contrat pompe de relevage</t>
  </si>
  <si>
    <t>Contrat ventilation parking</t>
  </si>
  <si>
    <t>Entretien et petites réparations portes et serrures</t>
  </si>
  <si>
    <t>ELECCOMM</t>
  </si>
  <si>
    <t>MAINTNETTO</t>
  </si>
  <si>
    <t>MAINTVMC</t>
  </si>
  <si>
    <t>MAINTEXT</t>
  </si>
  <si>
    <t>MAINTDESE</t>
  </si>
  <si>
    <t>MAINTTOIT</t>
  </si>
  <si>
    <t>DESCIRC</t>
  </si>
  <si>
    <t>COLONNESEC</t>
  </si>
  <si>
    <t>BLOCSEC</t>
  </si>
  <si>
    <t>FERMEPORTE</t>
  </si>
  <si>
    <t>REPARIMMO</t>
  </si>
  <si>
    <t>ASSMULTI</t>
  </si>
  <si>
    <t>ASSJURID</t>
  </si>
  <si>
    <t>SYNDIC</t>
  </si>
  <si>
    <t>FRAISPOSTAUX</t>
  </si>
  <si>
    <t>FRAISPOSTAUXAG</t>
  </si>
  <si>
    <t>GRANULEBOIS</t>
  </si>
  <si>
    <t>GAZ</t>
  </si>
  <si>
    <t>MAINTCHAUF</t>
  </si>
  <si>
    <t>MAINTPORT</t>
  </si>
  <si>
    <t>BACSABLE</t>
  </si>
  <si>
    <t>POMPERELEVAGE</t>
  </si>
  <si>
    <t>VENTILPARKING</t>
  </si>
  <si>
    <t>MAINTVERT</t>
  </si>
  <si>
    <t>Contrat de maintenance des espaces verts</t>
  </si>
  <si>
    <t>Otis</t>
  </si>
  <si>
    <t>CRAM</t>
  </si>
  <si>
    <t>Contrat maintenance ascenseurs 1-2</t>
  </si>
  <si>
    <t>Contrat maintenance ascenseurs 1-1</t>
  </si>
  <si>
    <t>Contrat maintenance ascenseurs 2</t>
  </si>
  <si>
    <t>Contrat maintenance ascenseurs 3</t>
  </si>
  <si>
    <t>ASC11</t>
  </si>
  <si>
    <t>ASC12</t>
  </si>
  <si>
    <t>ASC2</t>
  </si>
  <si>
    <t>ASC3</t>
  </si>
  <si>
    <t>REPARPORT</t>
  </si>
  <si>
    <t>Juridica</t>
  </si>
  <si>
    <t>(recommendé par courtier Belier)</t>
  </si>
  <si>
    <t>Prestataire</t>
  </si>
  <si>
    <t>Label de la prestation</t>
  </si>
  <si>
    <t>Label de la provision</t>
  </si>
  <si>
    <t>Provision</t>
  </si>
  <si>
    <t>Numéro de lot</t>
  </si>
  <si>
    <t>Electricité de parties communes</t>
  </si>
  <si>
    <t>Syndic</t>
  </si>
  <si>
    <t>Engagement sur 2 ans</t>
  </si>
  <si>
    <t>Franchise de 380€ pour sinistre sauf pour incendie et tempête (pas de franchise)</t>
  </si>
  <si>
    <t>Franchise de 350€</t>
  </si>
  <si>
    <t>2 passage par semaine</t>
  </si>
  <si>
    <t>3 passage par semaine</t>
  </si>
  <si>
    <t>Type de prestation</t>
  </si>
  <si>
    <t>AT Plus Propre</t>
  </si>
  <si>
    <t>Option shampoing moquette avec rotorwash</t>
  </si>
  <si>
    <t>Option de lavage du parking avec nettoyeur haute pression</t>
  </si>
  <si>
    <t>KLN</t>
  </si>
  <si>
    <t>2J FERMETURES</t>
  </si>
  <si>
    <t>Option shampoing de moquette</t>
  </si>
  <si>
    <t>Option lavage du parking</t>
  </si>
  <si>
    <t>Assistance SLA</t>
  </si>
  <si>
    <t>Assistance ARTCADIA</t>
  </si>
  <si>
    <t>Assurance multirisques AXA</t>
  </si>
  <si>
    <t>Assurance multirisques Allianz</t>
  </si>
  <si>
    <t>Assurance juridique Juridica</t>
  </si>
  <si>
    <t>Entretien des parties communes 3 passages hebdo KLN</t>
  </si>
  <si>
    <t>Entretien des parties communes 3 passages par semaine AT+Propre</t>
  </si>
  <si>
    <t>Entretien des parties communes 2 passages par semaine AT+Propre</t>
  </si>
  <si>
    <t>Pose de compteur Proxiserve</t>
  </si>
  <si>
    <t>Pose de compteur Ocea</t>
  </si>
  <si>
    <t>Pose de compteur Ista</t>
  </si>
  <si>
    <t>Entretien porte de parking 2J fermetures</t>
  </si>
  <si>
    <t>Entretien porte de parking 2J fermetures avec engagement sur 2 ans</t>
  </si>
  <si>
    <t>Entretien porte de parking Fermetic</t>
  </si>
  <si>
    <t>Contrat d'entretien de la chaudière à gaz, bois et granules CRAM</t>
  </si>
  <si>
    <t>Contrat d'entretien de la chaudière à gaz, bois et granules PROCHALOR</t>
  </si>
  <si>
    <t>Contrat d'entretien de la chaudière à gaz, bois et granules D&amp;T</t>
  </si>
  <si>
    <t xml:space="preserve"> Contrat d'entretien classique 6j/7 interventions de 8h00 à 18h00 avec engagement sur 1 an, ne couvre que les 2 visites réglementaires+réparations pour usure normale. Interdit de les filmer et pas de recours pour violation de domicile possible</t>
  </si>
  <si>
    <t xml:space="preserve"> Contrat d'entretien classique 6j/7 interventions de 8h00 à 18h00 avec engagement sur 2 ans, ne couvre que les 2 visites réglementaires+réparations pour usure normale. Interdit de les filmer et pas de recours pour violation de domicile possible</t>
  </si>
  <si>
    <t>Grosse structure, ne couvre que les 2 visites réglementaires+réparation pour usure normale. Les délais d’intervention pour le contrat de base sont de 1 à 2 heures* pour une installation bloquée en position fermée, et de 2 à 8 heures* pour une intervention n’affectant pas l’entrée ou la sortie des véhicules, du lundi au vendredi, entre 8h30 et 17h30.
Des interventions en dehors de ces horaires (soir, week-end et jours fériés) peuvent être réalisées dans le cadre d’une option spécifique « astreinte 24h/24 – 7j/7 » souscrite séparément.
Les interventions sur des installations bloquées fermées ou présentant un risque immédiat pour la sécurité des usagers sont traitées en priorité par le technicien d’astreinte, selon la disponibilité et l’avancement de son planning. Les interventions sur des installations bloquées en position ouverte* pourront, en cas de surcharge liée à des interventions prioritaires, être reportées sur les jours et horaires ouvrables, sans que cela ne puisse donner lieu à réclamation ni à dédommagement.</t>
  </si>
  <si>
    <t>(devis en cours)</t>
  </si>
  <si>
    <t>1ère année offerte</t>
  </si>
  <si>
    <t>Estimation faite car absent du contrat; 1ère année offerte</t>
  </si>
  <si>
    <t>Option traitement adoucissant eau avec engagement sur 3 ans</t>
  </si>
  <si>
    <t>Description</t>
  </si>
  <si>
    <t>Maintenance de l'ascenceur 1-1 (dessert 8 niveaux)</t>
  </si>
  <si>
    <t>Service de maintenance connectée de l'ascenceur 1-1</t>
  </si>
  <si>
    <t>Service de maintenance connectée de l'ascenceur 1-2</t>
  </si>
  <si>
    <t>Maintenance de l'ascenceur 1-2 (dessert 8 niveaux)</t>
  </si>
  <si>
    <t>Service de maintenance connectée de l'ascenceur 2</t>
  </si>
  <si>
    <t>Maintenance de l'ascenceur 2 (dessert 10 niveaux)</t>
  </si>
  <si>
    <t>Service de maintenance connectée de l'ascenceur 3</t>
  </si>
  <si>
    <t>Maintenance de l'ascenceur 3 (dessert 5 niveaux)</t>
  </si>
  <si>
    <t>Tantièmes copropriété</t>
  </si>
  <si>
    <t>Tantièmes ascenseur 1-1</t>
  </si>
  <si>
    <t>Tantièmes ascenseur 1-2</t>
  </si>
  <si>
    <t>Tantièmes ascenseur 2</t>
  </si>
  <si>
    <t>Tantièmes chauffage</t>
  </si>
  <si>
    <t>Tantièmes Batiment 1</t>
  </si>
  <si>
    <t>Tantièmes Batiment 2</t>
  </si>
  <si>
    <t>Tantièmes Batiment 3</t>
  </si>
  <si>
    <t>Tantièmes Hall 1-1</t>
  </si>
  <si>
    <t>Tantièmes Hall 1-2</t>
  </si>
  <si>
    <t>Tantièmes Hall 2</t>
  </si>
  <si>
    <t>Tantièmes Logement/Stationnements</t>
  </si>
  <si>
    <t>Contrat P1 Fourniture granulés bois</t>
  </si>
  <si>
    <t>Contrat P1 Gaz</t>
  </si>
  <si>
    <t>ELECBAT1</t>
  </si>
  <si>
    <t>ELECBAT2</t>
  </si>
  <si>
    <t>ELECBAT3</t>
  </si>
  <si>
    <t>Contrat maintenance ascenseur 1-1</t>
  </si>
  <si>
    <t>Contrat maintenance ascenseur 1-2</t>
  </si>
  <si>
    <t>Contrat maintenance ascenseur 2</t>
  </si>
  <si>
    <t>Contrat maintenance ascenseur 3</t>
  </si>
  <si>
    <t>Electricité du batiment 1</t>
  </si>
  <si>
    <t>Electricité du batiment 2</t>
  </si>
  <si>
    <t>Electricité du batiment 3</t>
  </si>
  <si>
    <t>Tantièmes ascenseur 3</t>
  </si>
  <si>
    <t>Estimation IA</t>
  </si>
  <si>
    <t>Syndic fourcette basse</t>
  </si>
  <si>
    <t>Syndic fourcette haute</t>
  </si>
  <si>
    <t>Syndic fourcette moyenne</t>
  </si>
  <si>
    <t>Tantièmes Stationnement</t>
  </si>
  <si>
    <t>ID</t>
  </si>
  <si>
    <t>ID prestation</t>
  </si>
  <si>
    <t>ID tantiemes</t>
  </si>
  <si>
    <t>Coefficient d'isolation</t>
  </si>
  <si>
    <t>Type de chaudière</t>
  </si>
  <si>
    <t>ID poste de provision</t>
  </si>
  <si>
    <t>Prix unitaire du kWh</t>
  </si>
  <si>
    <t>Volume à chauffer en m3</t>
  </si>
  <si>
    <t>Label</t>
  </si>
  <si>
    <t>Terrasses de Gallieni</t>
  </si>
  <si>
    <t>Contrat  P2, engagement sur 3 ans</t>
  </si>
  <si>
    <t>Production maximum en kW</t>
  </si>
  <si>
    <t>Option adoucissant eau CRAM</t>
  </si>
  <si>
    <t>X</t>
  </si>
  <si>
    <t>Entretien porte de parking Eurosofia</t>
  </si>
  <si>
    <t>Eurosofia</t>
  </si>
  <si>
    <t>Rajouté</t>
  </si>
  <si>
    <t>Prestation choisie actuellement</t>
  </si>
  <si>
    <t>Un contrat « ferme-porte » (souvent appelé contrat fermé, par opposition à un contrat « ouvert ») est une modalité de contrat de maintenance et d'entretien, généralement souscrit par le syndicat des copropriétaires pour certains équipements communs (le plus souvent la porte automatique de garage / parking, le portail, ou parfois l'ascenseur).</t>
  </si>
  <si>
    <t>C'est un pot commun d'heures ou d'interventions attribué à un sous-traitant (ou au gardien/maintenance) pour effectuer de petits travaux courants sans avoir à repasser par une demande de devis, un vote du conseil syndical ou un ordre de service formel du syndic à chaque micro-problème.
Le prestataire dispose d'une marge de manœuvre (le « bac à sable ») pour agir en autonomie ou sur simple signalement dans la limite du forfait.</t>
  </si>
  <si>
    <t>Un contrat de maintenance du désenfumage est une prestation souscrite par le syndicat des copropriétaires pour assurer le bon fonctionnement, la vérification périodique et l'entretien des installations de désenfumage de l'immeuble (les exutoires de fumée en cage d'escalier, les volets, les gaines et les centrales de commande).
C'est un contrat de maintenance obligatoire et réglementaire, essentiel pour la sécurité incendie de la copropriété.</t>
  </si>
  <si>
    <t>Un contrat de maintenance pour pompe de relevage est une convention souscrite par la copropriété auprès d'un prestataire spécialisé (assainissement, plomberie industrielle) pour assurer l'entretien, le contrôle et le dépannage de la ou des pompes situées dans les sous-sols de l'immeuble.
C'est un contrat critique pour la salubrité de l'immeuble et la prévention des inondations, en particulier au niveau des sous-sols et des parkings.</t>
  </si>
  <si>
    <t>Un contrat de maintenance de la ventilation de parking (aussi appelée désenfumage mécanique ou extraction du parking) est une prestation souscrite par le syndicat des copropriétaires pour assurer l'entretien et le bon fonctionnement des équipements d'aération et d'extraction d'air dans les sous-sols et garages de l'immeuble.
C'est un contrat de sécurité obligatoire et réglementaire dès lors que le parking répond à certaines caractéristiques (nombre de niveaux ou de places).</t>
  </si>
  <si>
    <t>Un contrat de maintenance des colonnes sèches est une prestation obligatoire souscrite par le syndicat des copropriétaires pour garantir le bon état de fonctionnement et la résistance sous pression des tuyauteries d'incendie installées dans l'immeuble.
🚒 À quoi sert une colonne sèche ?
Une colonne sèche est un tuyau vide fixé verticalement dans la cage d'escalier (ou une gaine technique) reliant le rez-de-chaussée (ou l'extérieur) aux différents étages de l'immeuble.
En temps normal : La conduite est vide d'eau (d'où le terme « sèche »).
En cas d'incendie : Les pompiers raccordent leur camion-citerne à l'orifice d'alimentation situé au bas de l'immeuble pour y injecter de l'eau sous forte pression. Ils n'ont plus qu'à monter aux étages concernés et brancher leurs lances directement sur la prise d'étage.
L'objectif principal : Éviter aux pompiers de devoir dérouler des centaines de mètres de tuyaux dans les escaliers, ce qui fait gagner des minutes précieuses.</t>
  </si>
  <si>
    <t>Un contrat de maintenance du désenfumage en circulation est la prestation souscrite par la copropriété pour contrôler et entretenir les installations d'évacuation de fumée spécifiques aux espaces communs horizontaux de l'immeuble (couloirs, coursives, sas d'accès).
Il s'agit d'une déclinaison précise du contrat de sécurité incendie global, axée sur les zones de passage qui relient les appartements à la cage d'escalier ou aux sorties.</t>
  </si>
  <si>
    <t>Un contrat de maintenance des blocs de secours (souvent abrégé BAES pour Blocs Autonomes d'Éclairage de Sécurité) est un contrat souscrit par la copropriété pour assurer le bon fonctionnement, la vérification réglementaire et le remplacement des boîtiers lumineux d'urgence installés dans les parties communes.
Ce sont les petits boîtiers rectangulaires blancs (souvent dotés d'un pictogramme vert avec un bonhomme qui court) situés au-dessus des portes de sortie, dans les cages d'escalier, les couloirs et les sous-sols/parkings.</t>
  </si>
  <si>
    <t>Description longue</t>
  </si>
  <si>
    <t>De 310€/t pour Gruchy à 500€/t pour Prochalor</t>
  </si>
  <si>
    <t>Contrat associé à la porte principale du parking souterrain</t>
  </si>
  <si>
    <t>Assistance juridique à la copropriété</t>
  </si>
  <si>
    <t>Electricité du bâtiment 1: éclairages couloirs, éclairages hall, interphones. Relié aux panneaux solaires, avec revente du surplus d'électricité.</t>
  </si>
  <si>
    <t>Electricité du bâtiment 2: éclairages couloirs, éclairages hall, interphones. Relié aux panneaux solaires, avec revente du surplus d'électricité.</t>
  </si>
  <si>
    <t>Electricité du bâtiment 3: éclairages couloirs, éclairages hall, interphones. Relié aux panneaux solaires, avec revente du surplus d'électricité.</t>
  </si>
  <si>
    <t>EAU</t>
  </si>
  <si>
    <t>Fonds travaux ALUR</t>
  </si>
  <si>
    <t>FONDTRVX</t>
  </si>
  <si>
    <t>Fonds Travaux ALUR</t>
  </si>
  <si>
    <t>Le fonds travaux ALUR doit représenter 5% du budget provisionnel, mais les copropritété de résidence de moins de 5 ans en sont exemptés</t>
  </si>
  <si>
    <t>La facturation par Est Ensemble est progressive, gratuit jusqu'à 10m3, puis de 10 à 28 m³ = 1,1988 € HT / m³, de 28 à 86 m³ = 1,3320 € HT / m³, de 86 à 101 m³ = 1,3720 € HT / m³, de 101 à 131 m³ = 1,4200 € HT / m³, de 131 à 140 m³ = 1,4919 € HT / m³ et Plus de 140 m³ = 1,5366 € HT / m³. On rajoute la redevance (3,3€/m3) et la TVA (8%). Pour référence la consommation moyenne d'eau d'un adulte sur 1 an est de 55 m3.</t>
  </si>
  <si>
    <t>Lot 102 - 1er étage Batiment 1.1 (1111)</t>
  </si>
  <si>
    <t xml:space="preserve">Lot 103 - 1er étage Batiment 1.1 (1112) </t>
  </si>
  <si>
    <t>Lot 104 - 1er étage Batiment 1.1 (1113)</t>
  </si>
  <si>
    <t>Lot 105 - 1er étage Batiment 1.1 (1114)</t>
  </si>
  <si>
    <t>Lot 106 - 2er étage Batiment 1.1 (1121)</t>
  </si>
  <si>
    <t>Lot 107 - Studio 2eme étage Batiment 1.1 (1122)</t>
  </si>
  <si>
    <t>Lot 110 - 3eme étage Batiment 1.1 (1131)</t>
  </si>
  <si>
    <t>Lot 109 - 2eme étage Batiment 1.1 (1124)</t>
  </si>
  <si>
    <t>Lot 108 - 2eme étage Batiment 1.1 (1123)</t>
  </si>
  <si>
    <t>Lot 111 - Studio 3eme étage Batiment 1.1 (1132)</t>
  </si>
  <si>
    <t>Lot 113 - T2 3ème étage Batiment 1.1 (1134)</t>
  </si>
  <si>
    <t>Lot 112 - 3eme étage Batiment 1.1 (1133)</t>
  </si>
  <si>
    <t>Lot 114 - 4eme étage Batiment 1.1 (1141)</t>
  </si>
  <si>
    <t>Lot 115 - Studio 4eme étage Batiment 1.1 (1142)</t>
  </si>
  <si>
    <t>Lot 116 - 4eme étage Batiment 1.1 (1143)</t>
  </si>
  <si>
    <t>Lot 117 - T5 5eme étage Batiment 1.1 (1151)</t>
  </si>
  <si>
    <t>Lot 118 - Penthouse 6-7eme étage Batiment 1.1 (1161)</t>
  </si>
  <si>
    <t>Lot 119 - 1er étage Batiment 1.2 (1211)</t>
  </si>
  <si>
    <t>Lot 133 - Penthouse 6-7eme étage Batiment 1.2 (1261)</t>
  </si>
  <si>
    <t>Lot 134 - T2 5eme étage Batiment 1.2 (1251)</t>
  </si>
  <si>
    <t>Lot 135 - T2 5eme étage Batiment 1.2 (1252)</t>
  </si>
  <si>
    <t>Lot 313 - T2 RDC Batiment 3 (304)</t>
  </si>
  <si>
    <t>Lot 314 - T2 RDC Batiment 3 (305)</t>
  </si>
  <si>
    <t>Lot 315 - T2 2eme étage Batiment 3 (323)</t>
  </si>
  <si>
    <t>Lot 316 - T2 2eme étage Batiment 3 (324)</t>
  </si>
  <si>
    <t>Lot 201 - Local commercial RDC Batiment 2 (2)</t>
  </si>
  <si>
    <t>Lot 101 - Local commercial RDC Batiment 1 (1)</t>
  </si>
  <si>
    <t>Lot 312 - 3eme étage Batiment 3 (333)</t>
  </si>
  <si>
    <t>Lot 311 - Penthouse 3-4eme étage Batiment 3 (332)</t>
  </si>
  <si>
    <t>Lot 310 - Studio 3eme étage Batiment 3 (331)</t>
  </si>
  <si>
    <t>Lot 308 - Studio 2eme étage Batiment 3 (322)</t>
  </si>
  <si>
    <t>Lot 307 - 2eme étage Batiment 3 (321)</t>
  </si>
  <si>
    <t>Lot 306 - 1er étage Batiment 3 (312)</t>
  </si>
  <si>
    <t>Lot 305 - 1er étage Batiment 3 (311)</t>
  </si>
  <si>
    <t>Lot 303 - Studio RDC Batiment 3 (304)</t>
  </si>
  <si>
    <t>Lot 301 - Duplex RDC-1er étage Batiment 3 (301)</t>
  </si>
  <si>
    <t>Lot 302 - Duplex RDC-1er étage Batiment 3 (302)</t>
  </si>
  <si>
    <t>Lot 222 - Studio 6eme étage Batiment 2 (262)</t>
  </si>
  <si>
    <t>Lot 223 - 6eme étage Batiment 2 (263)</t>
  </si>
  <si>
    <t>Lot 224 - 7eme étage Batiment 2 (271)</t>
  </si>
  <si>
    <t>Lot 225 - 7eme étage Batiment 2 (272)</t>
  </si>
  <si>
    <t>Lot 202 - 1er étage Batiment 2 (211)</t>
  </si>
  <si>
    <t>Lot 203 - 1er étage Batiment 2 (212)</t>
  </si>
  <si>
    <t>Lot 204 - 1er étage Batiment 2 (213)</t>
  </si>
  <si>
    <t>Lot 205 - 1er étage Batiment 2 (214)</t>
  </si>
  <si>
    <t>Lot 206 - 2eme étage Batiment 2 (221)</t>
  </si>
  <si>
    <t>Lot 207 - 2eme étage Batiment 2 (222)</t>
  </si>
  <si>
    <t>Lot 208 - 2eme étage Batiment 2 (223)</t>
  </si>
  <si>
    <t>Lot 209 - 2eme étage Batiment 2 (224)</t>
  </si>
  <si>
    <t>Lot 210 - 3eme étage Batiment 2 (231)</t>
  </si>
  <si>
    <t>Lot 211 - 3eme étage Batiment 2 (232)</t>
  </si>
  <si>
    <t>Lot 213 - 3eme étage Batiment 2 (234)</t>
  </si>
  <si>
    <t>Lot 212 - 3eme étage Batiment 2 (233)</t>
  </si>
  <si>
    <t>Lot 214 - 4eme étage Batiment 2 (241)</t>
  </si>
  <si>
    <t>Lot 215 - 4eme étage Batiment 2 (242)</t>
  </si>
  <si>
    <t>Lot 216 - Studio 4eme étage Batiment 2 (243)</t>
  </si>
  <si>
    <t>Lot 217 - 4eme étage Batiment 2 (244)</t>
  </si>
  <si>
    <t>Lot 218 - 5eme étage Batiment 2 (251)</t>
  </si>
  <si>
    <t>Lot 219 - Studio 5eme étage Batiment 2 (252)</t>
  </si>
  <si>
    <t>Lot 220 - 5eme étage Batiment 2 (253)</t>
  </si>
  <si>
    <t>Lot 221 - 6eme étage Batiment 2 (261)</t>
  </si>
  <si>
    <t>Lot 412 - Parking 1er sous sol Batiment 1.2 (12)</t>
  </si>
  <si>
    <t>Lot 453 - Parking 2eme sous sol Batiment 1.1 (55)</t>
  </si>
  <si>
    <t>Lot 454 - Parking 2eme sous sol Batiment 1.1 (56)</t>
  </si>
  <si>
    <t>Lot 455 - Parking 2eme sous sol Batiment 1.1 (57)</t>
  </si>
  <si>
    <t>Lot 456 - Parking 2eme sous sol Batiment 1.1 (58)</t>
  </si>
  <si>
    <t>Lot 457 - Parking 2eme sous sol Batiment 1.2 (59)</t>
  </si>
  <si>
    <t>Lot 458 - Parking 2eme sous sol Batiment 1.1 (60)</t>
  </si>
  <si>
    <t>Lot 459 - Parking 2eme sous sol Batiment 1.1 (61)</t>
  </si>
  <si>
    <t>Lot 462 - Parking 2eme sous sol Batiment 1.1 (64)</t>
  </si>
  <si>
    <t>Lot 460 - Parking 2eme sous sol Batiment 1.1 (62)</t>
  </si>
  <si>
    <t>Lot 461 - Parking 2eme sous sol Batiment 1.1 (63)</t>
  </si>
  <si>
    <t>Lot 463 - Parking 2eme sous sol Batiment 1.2 (65)</t>
  </si>
  <si>
    <t>Lot 401 - Parking 1er sous sol Batiment 1.2 (1)</t>
  </si>
  <si>
    <t>Lot 402 - Parking 1er sous sol Batiment 1.2 (2)</t>
  </si>
  <si>
    <t>Lot 403 - Parking 1er sous sol Batiment 1.1 (3)</t>
  </si>
  <si>
    <t>Lot 404 - Parking 1er sous sol Batiment 1.1 (4)</t>
  </si>
  <si>
    <t>Lot 405 - Parking 1er sous sol Batiment 1.1 (5)</t>
  </si>
  <si>
    <t>Lot 406 - Parking 1er sous sol Batiment 1.1 (6)</t>
  </si>
  <si>
    <t>Lot 407 - Parking 1er sous sol Batiment 1.2 (7)</t>
  </si>
  <si>
    <t>Lot 408 - Parking 1er sous sol Batiment 1.1 (8)</t>
  </si>
  <si>
    <t>Lot 409 - Parking 1er sous sol Batiment 1.2 (9)</t>
  </si>
  <si>
    <t>Lot 410 - Parking 1er sous sol Batiment 1.2 (10)</t>
  </si>
  <si>
    <t>Lot 411 - Parking 1er sous sol Batiment 1.2 (11)</t>
  </si>
  <si>
    <t>Lot 413 - Parking 1er sous sol Batiment 1.2 (13)</t>
  </si>
  <si>
    <t>Lot 414 - Parking 1er sous sol Batiment 1.2 (14)</t>
  </si>
  <si>
    <t>Lot 415 - Parking 1er sous sol Batiment 1.2 (15)</t>
  </si>
  <si>
    <t>Lot 416 - Parking 1er sous sol Batiment 1.2 (16)</t>
  </si>
  <si>
    <t>Lot 417 - Parking 1er sous sol Batiment 1.2 (17)</t>
  </si>
  <si>
    <t>Lot 418 - Parking 1er sous sol Batiment 1.2 (18)</t>
  </si>
  <si>
    <t>Lot 419 - Parking 1er sous sol Batiment 2 (19)</t>
  </si>
  <si>
    <t>Lot 420 - Parking 1er sous sol Batiment 2 (20)</t>
  </si>
  <si>
    <t>Lot 421 - Parking 1er sous sol Batiment 2 (21)</t>
  </si>
  <si>
    <t>Lot 422 - Parking 1er sous sol Batiment 2 (22)</t>
  </si>
  <si>
    <t>Lot 423 - Parking 1er sous sol Batiment 2 (23)</t>
  </si>
  <si>
    <t>Lot 424 - Parking 1er sous sol Batiment 2 (24)</t>
  </si>
  <si>
    <t>Lot 425 - Parking 1er sous sol Batiment 2 (25)</t>
  </si>
  <si>
    <t>Lot 426 - Parking 1er sous sol Batiment 2 (26)</t>
  </si>
  <si>
    <t>Lot 427 - Parking 1er sous sol Batiment 2 (27)</t>
  </si>
  <si>
    <t>Lot 428 - Parking 1er sous sol Batiment 2 (28)</t>
  </si>
  <si>
    <t>Lot 429 - Parking 1er sous sol Batiment 2 (29)</t>
  </si>
  <si>
    <t>Lot 430 - Parking 1er sous sol Batiment 2 (30)</t>
  </si>
  <si>
    <t>Lot 431 - Parking 1er sous sol Batiment 2 (31)</t>
  </si>
  <si>
    <t>Lot 432 - Parking 1er sous sol Batiment 2 (32)</t>
  </si>
  <si>
    <t>Lot 433 - Parking 1er sous sol Batiment 3 (34)</t>
  </si>
  <si>
    <t>Lot 434 - Parking 1er sous sol Batiment 3 (35)</t>
  </si>
  <si>
    <t>Lot 435 - Parking 1er sous sol Batiment 3 (36)</t>
  </si>
  <si>
    <t>Lot 436 - Parking 1er sous sol Batiment 3 (37)</t>
  </si>
  <si>
    <t>Lot 437 - Parking 1er sous sol Batiment 3 (38)</t>
  </si>
  <si>
    <t>Lot 438 - Parking 1er sous sol Batiment 3 (39)</t>
  </si>
  <si>
    <t>Lot 439 - Parking 1er sous sol Batiment 3 (40)</t>
  </si>
  <si>
    <t>Lot 440 - Parking 1er sous sol Batiment 3 (41)</t>
  </si>
  <si>
    <t>Lot 441 - Parking 1er sous sol Batiment 3 (42)</t>
  </si>
  <si>
    <t>Lot 442 - Parking 1er sous sol Batiment 3 (43)</t>
  </si>
  <si>
    <t>Lot 443 - Parking 1er sous sol Batiment 3 (44)</t>
  </si>
  <si>
    <t>Lot 444 - Parking 1er sous sol Batiment 3 (45)</t>
  </si>
  <si>
    <t>Lot 445 - Parking 1er sous sol Batiment 3 (46)</t>
  </si>
  <si>
    <t>Lot 446 - Parking 1er sous sol Batiment 2 (47)</t>
  </si>
  <si>
    <t>Lot 447 - Parking 1er sous sol Batiment 2 (49)</t>
  </si>
  <si>
    <t>Lot 448 - Parking 1er sous sol Batiment 2 (50)</t>
  </si>
  <si>
    <t>Lot 449 - Parking 1er sous sol Batiment 2 (51)</t>
  </si>
  <si>
    <t>Lot 450 - Parking 1er sous sol Batiment 2 (52)</t>
  </si>
  <si>
    <t>Lot 451 - Parking 1er sous sol Batiment 1.2 (53)</t>
  </si>
  <si>
    <t>Lot 452 - Parking 1er sous sol Batiment 2 (54)</t>
  </si>
  <si>
    <t>Lot 464 - Parking 2eme sous sol Batiment 1.1 (66)</t>
  </si>
  <si>
    <t>Lot 465 - Parking 2eme sous sol Batiment 1.1 (67)</t>
  </si>
  <si>
    <t>Lot 466 - Parking 2eme sous sol Batiment 2 (68)</t>
  </si>
  <si>
    <t>Lot 467 - Parking 2eme sous sol Batiment 2 (69)</t>
  </si>
  <si>
    <t>Lot 468 - Parking 2eme sous sol Batiment 2 (70)</t>
  </si>
  <si>
    <t>Lot 469 - Parking 2eme sous sol Batiment 2 (71)</t>
  </si>
  <si>
    <t>Lot 470 - Parking 2eme sous sol Batiment 1.1 (72)</t>
  </si>
  <si>
    <t>Lot 471 - Parking 2eme sous sol Batiment 1.1 (73)</t>
  </si>
  <si>
    <t>Lot 472 - Parking 2eme sous sol Batiment 1.1 (74)</t>
  </si>
  <si>
    <t>Lot 473 - Parking 2eme sous sol Batiment 1.1 (75)</t>
  </si>
  <si>
    <t>Lot 474 - Parking 2eme sous sol Batiment 1.1 (76)</t>
  </si>
  <si>
    <t>Lot 475 - Parking 2eme sous sol Batiment 1.1 (77)</t>
  </si>
  <si>
    <t>Lot 476 - Parking 2eme sous sol Batiment 1.1 (78)</t>
  </si>
  <si>
    <t>Lot 477 - Parking 2eme sous sol Batiment 1.1 (79)</t>
  </si>
  <si>
    <t>Lot 478 - Parking 2eme sous sol Batiment 1.1 (80)</t>
  </si>
  <si>
    <t>Lot 479 - Parking 2eme sous sol Batiment 1.1 (81)</t>
  </si>
  <si>
    <t>Lot 480 - Parking 2eme sous sol Batiment 1.1 (82)</t>
  </si>
  <si>
    <t>Lot 481 - Parking 2eme sous sol Batiment 1.1 (83)</t>
  </si>
  <si>
    <t>Lot 482 - Parking 2eme sous sol Batiment 1.1 (84)</t>
  </si>
  <si>
    <t>Lot 483 - Parking 2eme sous sol Batiment 1.1 (85)</t>
  </si>
  <si>
    <t>Lot 484 - Parking 2eme sous sol Batiment 1.1 (86)</t>
  </si>
  <si>
    <t>Lot 485 - Parking 2eme sous sol Batiment 1.1 (87)</t>
  </si>
  <si>
    <t>Lot 486 - Parking 2eme sous sol Batiment 1.1 (88)</t>
  </si>
  <si>
    <t>Lot 487 - Parking 2eme sous sol Batiment 1.1 (89)</t>
  </si>
  <si>
    <t>Lot 488 - Parking 2eme sous sol Batiment 1.1 (90)</t>
  </si>
  <si>
    <t>Lot 489 - Parking 2eme sous sol Batiment 1.1 (91)</t>
  </si>
  <si>
    <t>Lot 490 - Parking 2eme sous sol Batiment 1.1 (92)</t>
  </si>
  <si>
    <t>Lot 491 - Parking 2eme sous sol Batiment 1.1 (93)</t>
  </si>
  <si>
    <t>Lot 492 - Parking 2eme sous sol Batiment 1.1 (94)</t>
  </si>
  <si>
    <t>Lot 493 - Parking 2eme sous sol Batiment 1.1 (95)</t>
  </si>
  <si>
    <t>Lot 494 - Parking 2eme sous sol Batiment 1.1 (96)</t>
  </si>
  <si>
    <t>Lot 495 - Parking 2eme sous sol Batiment 1.1 (97)</t>
  </si>
  <si>
    <t>Lot 496 - Parking 2eme sous sol Batiment 1.1 (98)</t>
  </si>
  <si>
    <t>Lot 497 - Parking 2eme sous sol Batiment 1.1 (99)</t>
  </si>
  <si>
    <t>Lot 498 - Parking 2eme sous sol Batiment 1.1 (100)</t>
  </si>
  <si>
    <t>Lot 506 - Parking 1er sous sol Batiment 3 (33)</t>
  </si>
  <si>
    <t>Lot 499 - Parking 2eme sous sol Batiment 1.1 (101)</t>
  </si>
  <si>
    <t>Lot 500 - Parking 2eme sous sol Batiment 1.1 (102)</t>
  </si>
  <si>
    <t>Lot 501 - Parking 2eme sous sol Batiment 1.1 (103)</t>
  </si>
  <si>
    <t>Lot 502 - Cave 2eme sous sol (1)</t>
  </si>
  <si>
    <t>Lot 503 - Cave 2eme sous sol (2)</t>
  </si>
  <si>
    <t>Lot 504 - Cave 2eme sous sol (3)</t>
  </si>
  <si>
    <t>Lot 505 - Cave 2eme sous sol (4)</t>
  </si>
  <si>
    <t>Lot 120 - 1er étage Batiment 1.2 (1212)</t>
  </si>
  <si>
    <t>Lot 121 - 1er étage Batiment 1.2 (1213)</t>
  </si>
  <si>
    <t>Lot 122 - 2eme étage Batiment 1.2 (1221)</t>
  </si>
  <si>
    <t>Lot 123 - 2eme étage Batiment 1.2 (1222)</t>
  </si>
  <si>
    <t>Lot 124 - 2eme étage Batiment 1.2 (1223)</t>
  </si>
  <si>
    <t>Lot 125 - 3eme étage Batiment 1.2 (1231)</t>
  </si>
  <si>
    <t>Lot 126 - 3eme étage Batiment 1.2 (1232)</t>
  </si>
  <si>
    <t>Lot 127 - 3eme etage Batiment 1.2 (1233)</t>
  </si>
  <si>
    <t>Lot 128 - 4eme étage Batiment 1.2 (1241)</t>
  </si>
  <si>
    <t>Lot 130 - 4eme étage Batiment 1.2 (1243)</t>
  </si>
  <si>
    <t>Lot 129 - 4eme étage Batiment 1.2 (1242)</t>
  </si>
  <si>
    <t>Lot 132 - 5eme étage Batiment 1.2 (1253)</t>
  </si>
  <si>
    <t>Prix de la tonne de granulés: Gruchy = 310€/t, CRAM = 392€/t (dans le simulateur) et Prochalor 500€/t - 1 tonne de granulés de bois = 4800-5000kWh</t>
  </si>
  <si>
    <t>Herz Firematic 120</t>
  </si>
  <si>
    <t>Atlantic Varmax 2 140</t>
  </si>
  <si>
    <t>Unité</t>
  </si>
  <si>
    <t>tonne de granulé</t>
  </si>
  <si>
    <t>kWh par unité</t>
  </si>
  <si>
    <t>Chaudière d'appoint au gaz à condensation 0,1256€ le kWh</t>
  </si>
  <si>
    <t>Seuil de durée d'activation (mn)</t>
  </si>
  <si>
    <t>kWh de gaz</t>
  </si>
  <si>
    <t>Volume ballon d'ECS m3</t>
  </si>
  <si>
    <t>Seuil de fonctionnement (kW)</t>
  </si>
  <si>
    <t>Prix TTC de l'unité</t>
  </si>
  <si>
    <t>Contrat d'entretien de la chaudière à gaz, bois et granules Dalkia</t>
  </si>
  <si>
    <t>Dalkia</t>
  </si>
  <si>
    <t>Contrat P2, engagement sur 3 ans, a priori pas de livraison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</si>
</sst>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_-* #,##0.00\ [$€-40C]_-;\-* #,##0.00\ [$€-40C]_-;_-* &quot;-&quot;??\ [$€-40C]_-;_-@_-"/>
  </numFmts>
  <fonts count="3" x14ac:knownFonts="1">
    <font>
      <sz val="11"/>
      <color theme="1"/>
      <name val="Calibri"/>
      <family val="2"/>
      <scheme val="minor"/>
    </font>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8" tint="-0.499984740745262"/>
        <bgColor indexed="64"/>
      </patternFill>
    </fill>
  </fills>
  <borders count="2">
    <border>
      <left/>
      <right/>
      <top/>
      <bottom/>
      <diagonal/>
    </border>
    <border>
      <left/>
      <right/>
      <top style="thin">
        <color theme="4" tint="0.39997558519241921"/>
      </top>
      <bottom style="thin">
        <color theme="4" tint="0.3999755851924192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44" fontId="0" fillId="0" borderId="0" xfId="1" applyFont="1"/>
    <xf numFmtId="0" fontId="0" fillId="0" borderId="0" xfId="0" applyAlignment="1">
      <alignment wrapText="1"/>
    </xf>
    <xf numFmtId="44" fontId="0" fillId="0" borderId="0" xfId="1" applyFont="1" applyAlignment="1">
      <alignment wrapText="1"/>
    </xf>
    <xf numFmtId="164" fontId="0" fillId="0" borderId="0" xfId="1" applyNumberFormat="1" applyFont="1"/>
    <xf numFmtId="164" fontId="0" fillId="0" borderId="0" xfId="0" applyNumberFormat="1"/>
    <xf numFmtId="49" fontId="0" fillId="0" borderId="0" xfId="0" applyNumberFormat="1"/>
    <xf numFmtId="49" fontId="0" fillId="0" borderId="0" xfId="1" applyNumberFormat="1" applyFont="1"/>
    <xf numFmtId="0" fontId="0" fillId="0" borderId="0" xfId="2" applyNumberFormat="1" applyFont="1"/>
    <xf numFmtId="0" fontId="0" fillId="2" borderId="0" xfId="0" applyFill="1" applyAlignment="1">
      <alignment wrapText="1"/>
    </xf>
    <xf numFmtId="164" fontId="0" fillId="2" borderId="0" xfId="1" applyNumberFormat="1" applyFont="1" applyFill="1"/>
    <xf numFmtId="0" fontId="0" fillId="0" borderId="1" xfId="0" applyBorder="1"/>
    <xf numFmtId="0" fontId="0" fillId="0" borderId="0" xfId="1" applyNumberFormat="1" applyFont="1"/>
  </cellXfs>
  <cellStyles count="3">
    <cellStyle name="Monétaire" xfId="1" builtinId="4"/>
    <cellStyle name="Normal" xfId="0" builtinId="0"/>
    <cellStyle name="Pourcentage" xfId="2" builtinId="5"/>
  </cellStyles>
  <dxfs count="31">
    <dxf>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dxf>
    <dxf>
      <alignment horizontal="general" vertical="bottom" textRotation="0" wrapText="1" indent="0" justifyLastLine="0" shrinkToFit="0" readingOrder="0"/>
    </dxf>
    <dxf>
      <numFmt numFmtId="34" formatCode="_-* #,##0.00\ &quot;€&quot;_-;\-* #,##0.00\ &quot;€&quot;_-;_-* &quot;-&quot;??\ &quot;€&quot;_-;_-@_-"/>
    </dxf>
    <dxf>
      <font>
        <b val="0"/>
        <i val="0"/>
        <strike val="0"/>
        <condense val="0"/>
        <extend val="0"/>
        <outline val="0"/>
        <shadow val="0"/>
        <u val="none"/>
        <vertAlign val="baseline"/>
        <sz val="11"/>
        <color theme="1"/>
        <name val="Calibri"/>
        <family val="2"/>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4" formatCode="_-* #,##0.00\ [$€-40C]_-;\-* #,##0.00\ [$€-40C]_-;_-* &quot;-&quot;??\ [$€-40C]_-;_-@_-"/>
    </dxf>
    <dxf>
      <numFmt numFmtId="30" formatCode="@"/>
    </dxf>
    <dxf>
      <font>
        <b val="0"/>
        <i val="0"/>
        <strike val="0"/>
        <condense val="0"/>
        <extend val="0"/>
        <outline val="0"/>
        <shadow val="0"/>
        <u val="none"/>
        <vertAlign val="baseline"/>
        <sz val="11"/>
        <color theme="1"/>
        <name val="Calibri"/>
        <family val="2"/>
        <scheme val="minor"/>
      </font>
      <numFmt numFmtId="164" formatCode="_-* #,##0.00\ [$€-40C]_-;\-* #,##0.00\ [$€-40C]_-;_-* &quot;-&quot;??\ [$€-40C]_-;_-@_-"/>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3C2BCD2-5CEA-4301-A571-688E40226767}" name="Provisions" displayName="Provisions" ref="A1:F35">
  <autoFilter ref="A1:F35" xr:uid="{13C2BCD2-5CEA-4301-A571-688E40226767}"/>
  <sortState xmlns:xlrd2="http://schemas.microsoft.com/office/spreadsheetml/2017/richdata2" ref="A2:F34">
    <sortCondition descending="1" ref="E1:E34"/>
  </sortState>
  <tableColumns count="6">
    <tableColumn id="1" xr3:uid="{3B91602D-BA59-47C1-AD19-EAA938B961C7}" name="ID tantiemes"/>
    <tableColumn id="4" xr3:uid="{84F1F30D-4827-43F2-8865-B7957E3E712D}" name="ID"/>
    <tableColumn id="7" xr3:uid="{512EABBD-B863-4251-833D-8B8D1F1626EF}" name="Description"/>
    <tableColumn id="2" xr3:uid="{D09C4BB0-FEBD-4A72-9E87-B5258D8B62D7}" name="Label de la provision"/>
    <tableColumn id="3" xr3:uid="{347751FB-EF14-4BD7-9D47-427E04136B77}" name="Provision" totalsRowFunction="sum" dataDxfId="22" totalsRowDxfId="21" dataCellStyle="Monétaire"/>
    <tableColumn id="5" xr3:uid="{CA26B6F8-88AD-418A-B213-749ABA66E926}" name="Description longue"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E83642-0ED6-4017-A369-70F6DD3FC748}" name="Lots" displayName="Lots" ref="A1:P180" totalsRowShown="0">
  <autoFilter ref="A1:P180" xr:uid="{74E83642-0ED6-4017-A369-70F6DD3FC748}"/>
  <sortState xmlns:xlrd2="http://schemas.microsoft.com/office/spreadsheetml/2017/richdata2" ref="A2:P180">
    <sortCondition ref="A1:A180"/>
  </sortState>
  <tableColumns count="16">
    <tableColumn id="3" xr3:uid="{1687C042-C916-4161-82C2-2A915364FCD2}" name="Numéro de lot" dataDxfId="19"/>
    <tableColumn id="1" xr3:uid="{788DBA8C-5B77-4079-8161-FA45C58518AE}" name="Description"/>
    <tableColumn id="2" xr3:uid="{BE5ACA99-AEAF-4E51-BE0A-B3FB8FCCF08B}" name="Tantièmes copropriété" dataDxfId="18">
      <calculatedColumnFormula>7/10000</calculatedColumnFormula>
    </tableColumn>
    <tableColumn id="8" xr3:uid="{D62FAA89-C46E-4AF6-A14F-7FD6F46E7F00}" name="Tantièmes ascenseur 1-1" dataDxfId="17"/>
    <tableColumn id="9" xr3:uid="{C3B9BDED-CB2A-4305-9CBF-418F5971AC1E}" name="Tantièmes ascenseur 1-2" dataDxfId="16"/>
    <tableColumn id="10" xr3:uid="{C2291DE1-C707-4F83-846E-F914B4B42E52}" name="Tantièmes ascenseur 2" dataDxfId="15"/>
    <tableColumn id="11" xr3:uid="{4F70F08A-4C2F-41B0-88EB-711B1A0760CD}" name="Tantièmes ascenseur 3" dataDxfId="14"/>
    <tableColumn id="14" xr3:uid="{80D23396-716C-46AC-9B55-BCBC6C981351}" name="Tantièmes chauffage" dataDxfId="13"/>
    <tableColumn id="15" xr3:uid="{E3955139-B619-4DD0-8FC1-ECA97048DFE4}" name="Tantièmes Batiment 1" dataDxfId="12"/>
    <tableColumn id="16" xr3:uid="{C73E9407-A858-4EF7-81C2-6C70C4B157A2}" name="Tantièmes Batiment 2" dataDxfId="11"/>
    <tableColumn id="17" xr3:uid="{A07338CA-0096-4091-89B2-A46FF2D323C2}" name="Tantièmes Batiment 3" dataDxfId="10"/>
    <tableColumn id="18" xr3:uid="{7A3012D8-2375-4F10-9E84-F2F5060C6A99}" name="Tantièmes Hall 1-1" dataDxfId="9"/>
    <tableColumn id="19" xr3:uid="{67961B6E-B577-4A49-B099-623FB85519B4}" name="Tantièmes Hall 1-2" dataDxfId="8"/>
    <tableColumn id="20" xr3:uid="{03C201C1-F8AA-4D3C-AEBC-425B180BC2D7}" name="Tantièmes Hall 2" dataDxfId="7"/>
    <tableColumn id="21" xr3:uid="{4826FC05-81A9-4020-8D1D-83D3D5C5A05A}" name="Tantièmes Logement/Stationnements" dataDxfId="6"/>
    <tableColumn id="6" xr3:uid="{7B87787E-3595-42D5-B815-AF76B67432D8}" name="Tantièmes Stationnement"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FF80A4D-E18B-42B5-9271-DD654E188D32}" name="Prestations" displayName="Prestations" ref="A1:I38" totalsRowShown="0">
  <autoFilter ref="A1:I38" xr:uid="{AFF80A4D-E18B-42B5-9271-DD654E188D32}"/>
  <sortState xmlns:xlrd2="http://schemas.microsoft.com/office/spreadsheetml/2017/richdata2" ref="A2:H37">
    <sortCondition ref="B1:B37"/>
  </sortState>
  <tableColumns count="9">
    <tableColumn id="1" xr3:uid="{7753A616-C6B5-4B02-AE3F-2A95253630B8}" name="Type de prestation" dataDxfId="30"/>
    <tableColumn id="2" xr3:uid="{D7B6EA29-CA0A-4C24-9A81-3DF01785BD0C}" name="Label de la prestation" dataDxfId="29"/>
    <tableColumn id="8" xr3:uid="{91FE62B8-BF79-4277-91C2-4B3C13901105}" name="ID prestation" dataDxfId="28"/>
    <tableColumn id="3" xr3:uid="{2ADF6FF1-1416-43FA-A9BF-E696654CC8CD}" name="Prestataire"/>
    <tableColumn id="4" xr3:uid="{1C295B62-0191-41FA-9660-5BADE532BEE7}" name="Cout" dataDxfId="27"/>
    <tableColumn id="5" xr3:uid="{1E3C456B-12BB-4B06-B366-57CE3DA87819}" name="Taxes" dataDxfId="26"/>
    <tableColumn id="6" xr3:uid="{20997A37-E6E3-4308-9ACD-8D77B289D813}" name="Total TTC" dataDxfId="25">
      <calculatedColumnFormula>IF(Prestations[[#This Row],[Taxes]]="TTC",Prestations[[#This Row],[Cout]],Prestations[[#This Row],[Cout]]*1.2)</calculatedColumnFormula>
    </tableColumn>
    <tableColumn id="7" xr3:uid="{6BDB0ED6-23A7-4E1A-A654-9E18B0DA38B5}" name="Description" dataDxfId="24"/>
    <tableColumn id="9" xr3:uid="{C919E254-DE7F-4D3B-8CF6-79E643BBF97F}" name="Prestation choisie actuellement" dataDxfId="2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628909A-75FF-41C1-9EE4-F3C649717216}" name="Residence" displayName="Residence" ref="A1:D2" totalsRowShown="0">
  <autoFilter ref="A1:D2" xr:uid="{0628909A-75FF-41C1-9EE4-F3C649717216}"/>
  <tableColumns count="4">
    <tableColumn id="4" xr3:uid="{B1EE509D-2894-4393-AA6B-5D042BB6CCBA}" name="Label"/>
    <tableColumn id="2" xr3:uid="{0EB0E801-9DD6-4459-8AAC-AA0D5AC1F393}" name="Volume à chauffer en m3">
      <calculatedColumnFormula>5735*2.5</calculatedColumnFormula>
    </tableColumn>
    <tableColumn id="3" xr3:uid="{194ABB34-607A-43C7-8DED-8E1BDC9DD34E}" name="Coefficient d'isolation"/>
    <tableColumn id="1" xr3:uid="{7B038720-5CD6-40A0-9EAC-BA975F2B8827}" name="Volume ballon d'ECS m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87622F4-20CE-4A1D-A4F7-C9DCD51AF751}" name="Chauffage" displayName="Chauffage" ref="A1:J3" totalsRowShown="0">
  <autoFilter ref="A1:J3" xr:uid="{587622F4-20CE-4A1D-A4F7-C9DCD51AF751}"/>
  <tableColumns count="10">
    <tableColumn id="1" xr3:uid="{455C30A6-2C19-4BD7-B8A4-D1C6252917DD}" name="Type de chaudière"/>
    <tableColumn id="2" xr3:uid="{FAAC8507-DC80-422C-8508-496178C23374}" name="ID poste de provision"/>
    <tableColumn id="3" xr3:uid="{17764D71-05D7-4B37-8536-4004CBBE2CD4}" name="Prix unitaire du kWh" dataDxfId="4"/>
    <tableColumn id="7" xr3:uid="{39B6FB9A-9DCB-412D-8CBD-94E321E39A50}" name="Unité" dataDxfId="3"/>
    <tableColumn id="8" xr3:uid="{C769AD0E-5A43-462D-8737-CE59FA9E9F57}" name="Prix TTC de l'unité" dataDxfId="2"/>
    <tableColumn id="9" xr3:uid="{C32F2A17-C994-4DCC-A33C-2604586EDB4F}" name="kWh par unité" dataDxfId="1"/>
    <tableColumn id="4" xr3:uid="{FECEDA0B-3F17-4D04-AB3F-B1B848AA5DB2}" name="Production maximum en kW"/>
    <tableColumn id="6" xr3:uid="{F8EB0843-7F05-427F-9B41-0852730F32C9}" name="Description"/>
    <tableColumn id="10" xr3:uid="{9F9F9E98-6D66-4867-A354-22539BFC6A70}" name="Seuil de fonctionnement (kW)" dataDxfId="0"/>
    <tableColumn id="11" xr3:uid="{D0B5F61C-1D85-4C5E-A117-B774F88FE50E}" name="Seuil de durée d'activation (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117CC-AF4F-4012-B4D8-F365E6A73A6D}">
  <sheetPr>
    <tabColor theme="9" tint="0.79998168889431442"/>
  </sheetPr>
  <dimension ref="A1:F35"/>
  <sheetViews>
    <sheetView topLeftCell="A21" workbookViewId="0">
      <selection activeCell="D42" sqref="D42"/>
    </sheetView>
  </sheetViews>
  <sheetFormatPr baseColWidth="10" defaultColWidth="9.140625" defaultRowHeight="15" x14ac:dyDescent="0.25"/>
  <cols>
    <col min="1" max="1" width="32.42578125" bestFit="1" customWidth="1"/>
    <col min="2" max="2" width="15.7109375" bestFit="1" customWidth="1"/>
    <col min="3" max="3" width="42.7109375" style="1" bestFit="1" customWidth="1"/>
    <col min="4" max="4" width="42.7109375" bestFit="1" customWidth="1"/>
    <col min="5" max="5" width="12.140625" style="1" bestFit="1" customWidth="1"/>
    <col min="6" max="6" width="147" customWidth="1"/>
  </cols>
  <sheetData>
    <row r="1" spans="1:6" x14ac:dyDescent="0.25">
      <c r="A1" t="s">
        <v>177</v>
      </c>
      <c r="B1" t="s">
        <v>175</v>
      </c>
      <c r="C1" t="s">
        <v>136</v>
      </c>
      <c r="D1" t="s">
        <v>94</v>
      </c>
      <c r="E1" s="1" t="s">
        <v>95</v>
      </c>
      <c r="F1" t="s">
        <v>201</v>
      </c>
    </row>
    <row r="2" spans="1:6" ht="45" x14ac:dyDescent="0.25">
      <c r="A2" t="s">
        <v>145</v>
      </c>
      <c r="B2" t="s">
        <v>208</v>
      </c>
      <c r="C2" t="s">
        <v>29</v>
      </c>
      <c r="D2" t="s">
        <v>29</v>
      </c>
      <c r="E2" s="1">
        <v>35000</v>
      </c>
      <c r="F2" s="2" t="s">
        <v>213</v>
      </c>
    </row>
    <row r="3" spans="1:6" x14ac:dyDescent="0.25">
      <c r="A3" t="s">
        <v>149</v>
      </c>
      <c r="B3" t="s">
        <v>70</v>
      </c>
      <c r="C3" s="1" t="s">
        <v>157</v>
      </c>
      <c r="D3" s="1" t="s">
        <v>46</v>
      </c>
      <c r="E3" s="1">
        <v>27000</v>
      </c>
      <c r="F3" s="2" t="s">
        <v>202</v>
      </c>
    </row>
    <row r="4" spans="1:6" x14ac:dyDescent="0.25">
      <c r="A4" t="s">
        <v>149</v>
      </c>
      <c r="B4" t="s">
        <v>71</v>
      </c>
      <c r="C4" s="1" t="s">
        <v>158</v>
      </c>
      <c r="D4" s="1" t="s">
        <v>47</v>
      </c>
      <c r="E4" s="1">
        <v>23100</v>
      </c>
      <c r="F4" s="2"/>
    </row>
    <row r="5" spans="1:6" x14ac:dyDescent="0.25">
      <c r="A5" t="s">
        <v>145</v>
      </c>
      <c r="B5" t="s">
        <v>55</v>
      </c>
      <c r="C5" t="s">
        <v>31</v>
      </c>
      <c r="D5" t="s">
        <v>31</v>
      </c>
      <c r="E5" s="1">
        <v>18000</v>
      </c>
      <c r="F5" s="2"/>
    </row>
    <row r="6" spans="1:6" x14ac:dyDescent="0.25">
      <c r="A6" t="s">
        <v>149</v>
      </c>
      <c r="B6" t="s">
        <v>72</v>
      </c>
      <c r="C6" s="1" t="s">
        <v>48</v>
      </c>
      <c r="D6" s="1" t="s">
        <v>48</v>
      </c>
      <c r="E6" s="1">
        <v>17650</v>
      </c>
      <c r="F6" s="2"/>
    </row>
    <row r="7" spans="1:6" x14ac:dyDescent="0.25">
      <c r="A7" t="s">
        <v>145</v>
      </c>
      <c r="B7" t="s">
        <v>67</v>
      </c>
      <c r="C7" t="s">
        <v>43</v>
      </c>
      <c r="D7" t="s">
        <v>43</v>
      </c>
      <c r="E7" s="1">
        <v>16800</v>
      </c>
      <c r="F7" s="2"/>
    </row>
    <row r="8" spans="1:6" x14ac:dyDescent="0.25">
      <c r="A8" t="s">
        <v>145</v>
      </c>
      <c r="B8" t="s">
        <v>65</v>
      </c>
      <c r="C8" t="s">
        <v>41</v>
      </c>
      <c r="D8" t="s">
        <v>41</v>
      </c>
      <c r="E8" s="1">
        <v>6200</v>
      </c>
      <c r="F8" s="2"/>
    </row>
    <row r="9" spans="1:6" x14ac:dyDescent="0.25">
      <c r="A9" t="s">
        <v>156</v>
      </c>
      <c r="B9" t="s">
        <v>77</v>
      </c>
      <c r="C9" t="s">
        <v>78</v>
      </c>
      <c r="D9" t="s">
        <v>78</v>
      </c>
      <c r="E9" s="1">
        <v>4000</v>
      </c>
      <c r="F9" s="2"/>
    </row>
    <row r="10" spans="1:6" x14ac:dyDescent="0.25">
      <c r="A10" t="s">
        <v>145</v>
      </c>
      <c r="B10" t="s">
        <v>64</v>
      </c>
      <c r="C10" t="s">
        <v>40</v>
      </c>
      <c r="D10" t="s">
        <v>40</v>
      </c>
      <c r="E10" s="1">
        <v>3500</v>
      </c>
      <c r="F10" s="2"/>
    </row>
    <row r="11" spans="1:6" x14ac:dyDescent="0.25">
      <c r="A11" t="s">
        <v>148</v>
      </c>
      <c r="B11" t="s">
        <v>87</v>
      </c>
      <c r="C11" t="s">
        <v>164</v>
      </c>
      <c r="D11" t="s">
        <v>83</v>
      </c>
      <c r="E11" s="1">
        <v>3000</v>
      </c>
      <c r="F11" s="2"/>
    </row>
    <row r="12" spans="1:6" x14ac:dyDescent="0.25">
      <c r="A12" t="s">
        <v>146</v>
      </c>
      <c r="B12" t="s">
        <v>85</v>
      </c>
      <c r="C12" t="s">
        <v>162</v>
      </c>
      <c r="D12" t="s">
        <v>82</v>
      </c>
      <c r="E12" s="1">
        <v>2900</v>
      </c>
      <c r="F12" s="2"/>
    </row>
    <row r="13" spans="1:6" x14ac:dyDescent="0.25">
      <c r="A13" t="s">
        <v>147</v>
      </c>
      <c r="B13" t="s">
        <v>86</v>
      </c>
      <c r="C13" t="s">
        <v>163</v>
      </c>
      <c r="D13" t="s">
        <v>81</v>
      </c>
      <c r="E13" s="1">
        <v>2900</v>
      </c>
      <c r="F13" s="2"/>
    </row>
    <row r="14" spans="1:6" x14ac:dyDescent="0.25">
      <c r="A14" t="s">
        <v>169</v>
      </c>
      <c r="B14" t="s">
        <v>88</v>
      </c>
      <c r="C14" t="s">
        <v>165</v>
      </c>
      <c r="D14" t="s">
        <v>84</v>
      </c>
      <c r="E14" s="1">
        <v>2700</v>
      </c>
      <c r="F14" s="2"/>
    </row>
    <row r="15" spans="1:6" x14ac:dyDescent="0.25">
      <c r="A15" t="s">
        <v>150</v>
      </c>
      <c r="B15" t="s">
        <v>159</v>
      </c>
      <c r="C15" t="s">
        <v>166</v>
      </c>
      <c r="D15" t="s">
        <v>166</v>
      </c>
      <c r="E15" s="1">
        <v>2000</v>
      </c>
      <c r="F15" s="2" t="s">
        <v>205</v>
      </c>
    </row>
    <row r="16" spans="1:6" x14ac:dyDescent="0.25">
      <c r="A16" t="s">
        <v>145</v>
      </c>
      <c r="B16" t="s">
        <v>54</v>
      </c>
      <c r="C16" t="s">
        <v>97</v>
      </c>
      <c r="D16" t="s">
        <v>30</v>
      </c>
      <c r="E16" s="1">
        <v>1500</v>
      </c>
      <c r="F16" s="2"/>
    </row>
    <row r="17" spans="1:6" x14ac:dyDescent="0.25">
      <c r="A17" t="s">
        <v>174</v>
      </c>
      <c r="B17" t="s">
        <v>89</v>
      </c>
      <c r="C17" t="s">
        <v>53</v>
      </c>
      <c r="D17" t="s">
        <v>53</v>
      </c>
      <c r="E17" s="1">
        <v>1500</v>
      </c>
      <c r="F17" s="2"/>
    </row>
    <row r="18" spans="1:6" ht="60" x14ac:dyDescent="0.25">
      <c r="A18" t="s">
        <v>145</v>
      </c>
      <c r="B18" t="s">
        <v>62</v>
      </c>
      <c r="C18" t="s">
        <v>38</v>
      </c>
      <c r="D18" t="s">
        <v>38</v>
      </c>
      <c r="E18" s="1">
        <v>1050</v>
      </c>
      <c r="F18" s="2" t="s">
        <v>200</v>
      </c>
    </row>
    <row r="19" spans="1:6" x14ac:dyDescent="0.25">
      <c r="A19" t="s">
        <v>151</v>
      </c>
      <c r="B19" t="s">
        <v>160</v>
      </c>
      <c r="C19" t="s">
        <v>167</v>
      </c>
      <c r="D19" t="s">
        <v>167</v>
      </c>
      <c r="E19" s="1">
        <v>1000</v>
      </c>
      <c r="F19" s="2" t="s">
        <v>206</v>
      </c>
    </row>
    <row r="20" spans="1:6" x14ac:dyDescent="0.25">
      <c r="A20" t="s">
        <v>152</v>
      </c>
      <c r="B20" t="s">
        <v>161</v>
      </c>
      <c r="C20" t="s">
        <v>168</v>
      </c>
      <c r="D20" t="s">
        <v>168</v>
      </c>
      <c r="E20" s="1">
        <v>1000</v>
      </c>
      <c r="F20" s="2" t="s">
        <v>207</v>
      </c>
    </row>
    <row r="21" spans="1:6" ht="75" x14ac:dyDescent="0.25">
      <c r="A21" t="s">
        <v>145</v>
      </c>
      <c r="B21" t="s">
        <v>60</v>
      </c>
      <c r="C21" t="s">
        <v>36</v>
      </c>
      <c r="D21" t="s">
        <v>36</v>
      </c>
      <c r="E21" s="1">
        <v>920</v>
      </c>
      <c r="F21" s="2" t="s">
        <v>199</v>
      </c>
    </row>
    <row r="22" spans="1:6" ht="135" x14ac:dyDescent="0.25">
      <c r="A22" t="s">
        <v>145</v>
      </c>
      <c r="B22" t="s">
        <v>61</v>
      </c>
      <c r="C22" t="s">
        <v>37</v>
      </c>
      <c r="D22" t="s">
        <v>37</v>
      </c>
      <c r="E22" s="1">
        <v>900</v>
      </c>
      <c r="F22" s="2" t="s">
        <v>198</v>
      </c>
    </row>
    <row r="23" spans="1:6" x14ac:dyDescent="0.25">
      <c r="A23" t="s">
        <v>145</v>
      </c>
      <c r="B23" t="s">
        <v>69</v>
      </c>
      <c r="C23" t="s">
        <v>45</v>
      </c>
      <c r="D23" t="s">
        <v>45</v>
      </c>
      <c r="E23" s="1">
        <v>850</v>
      </c>
      <c r="F23" s="2"/>
    </row>
    <row r="24" spans="1:6" x14ac:dyDescent="0.25">
      <c r="A24" t="s">
        <v>145</v>
      </c>
      <c r="B24" t="s">
        <v>66</v>
      </c>
      <c r="C24" t="s">
        <v>42</v>
      </c>
      <c r="D24" t="s">
        <v>42</v>
      </c>
      <c r="E24" s="1">
        <v>750</v>
      </c>
      <c r="F24" s="2" t="s">
        <v>204</v>
      </c>
    </row>
    <row r="25" spans="1:6" x14ac:dyDescent="0.25">
      <c r="A25" t="s">
        <v>145</v>
      </c>
      <c r="B25" t="s">
        <v>56</v>
      </c>
      <c r="C25" t="s">
        <v>32</v>
      </c>
      <c r="D25" t="s">
        <v>32</v>
      </c>
      <c r="E25" s="1">
        <v>650</v>
      </c>
      <c r="F25" s="2"/>
    </row>
    <row r="26" spans="1:6" ht="45" x14ac:dyDescent="0.25">
      <c r="A26" t="s">
        <v>145</v>
      </c>
      <c r="B26" t="s">
        <v>63</v>
      </c>
      <c r="C26" t="s">
        <v>39</v>
      </c>
      <c r="D26" t="s">
        <v>39</v>
      </c>
      <c r="E26" s="1">
        <v>580</v>
      </c>
      <c r="F26" s="2" t="s">
        <v>193</v>
      </c>
    </row>
    <row r="27" spans="1:6" x14ac:dyDescent="0.25">
      <c r="A27" t="s">
        <v>145</v>
      </c>
      <c r="B27" t="s">
        <v>68</v>
      </c>
      <c r="C27" t="s">
        <v>44</v>
      </c>
      <c r="D27" t="s">
        <v>44</v>
      </c>
      <c r="E27" s="1">
        <v>570</v>
      </c>
      <c r="F27" s="2"/>
    </row>
    <row r="28" spans="1:6" x14ac:dyDescent="0.25">
      <c r="A28" t="s">
        <v>174</v>
      </c>
      <c r="B28" t="s">
        <v>73</v>
      </c>
      <c r="C28" t="s">
        <v>49</v>
      </c>
      <c r="D28" t="s">
        <v>49</v>
      </c>
      <c r="E28" s="1">
        <v>450</v>
      </c>
      <c r="F28" s="2" t="s">
        <v>203</v>
      </c>
    </row>
    <row r="29" spans="1:6" ht="60" x14ac:dyDescent="0.25">
      <c r="A29" t="s">
        <v>174</v>
      </c>
      <c r="B29" t="s">
        <v>76</v>
      </c>
      <c r="C29" t="s">
        <v>52</v>
      </c>
      <c r="D29" t="s">
        <v>52</v>
      </c>
      <c r="E29" s="1">
        <v>360</v>
      </c>
      <c r="F29" s="2" t="s">
        <v>197</v>
      </c>
    </row>
    <row r="30" spans="1:6" ht="45" x14ac:dyDescent="0.25">
      <c r="A30" t="s">
        <v>174</v>
      </c>
      <c r="B30" t="s">
        <v>75</v>
      </c>
      <c r="C30" t="s">
        <v>51</v>
      </c>
      <c r="D30" t="s">
        <v>51</v>
      </c>
      <c r="E30" s="1">
        <v>320</v>
      </c>
      <c r="F30" s="2" t="s">
        <v>196</v>
      </c>
    </row>
    <row r="31" spans="1:6" ht="60" x14ac:dyDescent="0.25">
      <c r="A31" t="s">
        <v>145</v>
      </c>
      <c r="B31" t="s">
        <v>58</v>
      </c>
      <c r="C31" t="s">
        <v>34</v>
      </c>
      <c r="D31" t="s">
        <v>34</v>
      </c>
      <c r="E31" s="1">
        <v>240</v>
      </c>
      <c r="F31" s="2" t="s">
        <v>195</v>
      </c>
    </row>
    <row r="32" spans="1:6" x14ac:dyDescent="0.25">
      <c r="A32" t="s">
        <v>145</v>
      </c>
      <c r="B32" t="s">
        <v>57</v>
      </c>
      <c r="C32" t="s">
        <v>33</v>
      </c>
      <c r="D32" t="s">
        <v>33</v>
      </c>
      <c r="E32" s="1">
        <v>220</v>
      </c>
      <c r="F32" s="2"/>
    </row>
    <row r="33" spans="1:6" ht="45" x14ac:dyDescent="0.25">
      <c r="A33" t="s">
        <v>174</v>
      </c>
      <c r="B33" t="s">
        <v>74</v>
      </c>
      <c r="C33" t="s">
        <v>50</v>
      </c>
      <c r="D33" t="s">
        <v>50</v>
      </c>
      <c r="E33" s="1">
        <v>90</v>
      </c>
      <c r="F33" s="2" t="s">
        <v>194</v>
      </c>
    </row>
    <row r="34" spans="1:6" x14ac:dyDescent="0.25">
      <c r="A34" t="s">
        <v>145</v>
      </c>
      <c r="B34" t="s">
        <v>59</v>
      </c>
      <c r="C34" t="s">
        <v>35</v>
      </c>
      <c r="D34" t="s">
        <v>35</v>
      </c>
      <c r="E34" s="1">
        <v>0</v>
      </c>
      <c r="F34" s="2"/>
    </row>
    <row r="35" spans="1:6" x14ac:dyDescent="0.25">
      <c r="A35" t="s">
        <v>145</v>
      </c>
      <c r="B35" t="s">
        <v>210</v>
      </c>
      <c r="C35" s="1" t="s">
        <v>209</v>
      </c>
      <c r="D35" t="s">
        <v>211</v>
      </c>
      <c r="E35" s="1">
        <v>0</v>
      </c>
      <c r="F35" s="2" t="s">
        <v>212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1F98-836F-4913-AF2F-9A2EFE5871BD}">
  <sheetPr>
    <tabColor theme="9" tint="0.79998168889431442"/>
  </sheetPr>
  <dimension ref="A1:P180"/>
  <sheetViews>
    <sheetView topLeftCell="A20" workbookViewId="0">
      <pane xSplit="1" topLeftCell="B1" activePane="topRight" state="frozen"/>
      <selection activeCell="A31" sqref="A31"/>
      <selection pane="topRight" activeCell="B33" sqref="B33"/>
    </sheetView>
  </sheetViews>
  <sheetFormatPr baseColWidth="10" defaultColWidth="9.140625" defaultRowHeight="15" x14ac:dyDescent="0.25"/>
  <cols>
    <col min="1" max="1" width="16.28515625" style="8" bestFit="1" customWidth="1"/>
    <col min="2" max="2" width="54.85546875" bestFit="1" customWidth="1"/>
    <col min="3" max="3" width="23.85546875" bestFit="1" customWidth="1"/>
    <col min="4" max="5" width="25.42578125" bestFit="1" customWidth="1"/>
    <col min="6" max="7" width="23.7109375" bestFit="1" customWidth="1"/>
    <col min="8" max="8" width="22" bestFit="1" customWidth="1"/>
    <col min="9" max="11" width="22.85546875" bestFit="1" customWidth="1"/>
    <col min="12" max="13" width="19.85546875" bestFit="1" customWidth="1"/>
    <col min="14" max="14" width="18" bestFit="1" customWidth="1"/>
    <col min="15" max="15" width="37.7109375" bestFit="1" customWidth="1"/>
    <col min="16" max="16" width="26.7109375" bestFit="1" customWidth="1"/>
  </cols>
  <sheetData>
    <row r="1" spans="1:16" x14ac:dyDescent="0.25">
      <c r="A1" t="s">
        <v>96</v>
      </c>
      <c r="B1" t="s">
        <v>136</v>
      </c>
      <c r="C1" s="8" t="s">
        <v>145</v>
      </c>
      <c r="D1" s="8" t="s">
        <v>146</v>
      </c>
      <c r="E1" s="8" t="s">
        <v>147</v>
      </c>
      <c r="F1" s="8" t="s">
        <v>148</v>
      </c>
      <c r="G1" s="8" t="s">
        <v>169</v>
      </c>
      <c r="H1" s="8" t="s">
        <v>149</v>
      </c>
      <c r="I1" s="8" t="s">
        <v>150</v>
      </c>
      <c r="J1" s="8" t="s">
        <v>151</v>
      </c>
      <c r="K1" s="8" t="s">
        <v>152</v>
      </c>
      <c r="L1" s="8" t="s">
        <v>153</v>
      </c>
      <c r="M1" s="8" t="s">
        <v>154</v>
      </c>
      <c r="N1" s="8" t="s">
        <v>155</v>
      </c>
      <c r="O1" s="8" t="s">
        <v>156</v>
      </c>
      <c r="P1" s="8" t="s">
        <v>174</v>
      </c>
    </row>
    <row r="2" spans="1:16" x14ac:dyDescent="0.25">
      <c r="A2" s="8">
        <v>101</v>
      </c>
      <c r="B2" t="s">
        <v>240</v>
      </c>
      <c r="C2">
        <v>462</v>
      </c>
      <c r="I2">
        <v>1055</v>
      </c>
    </row>
    <row r="3" spans="1:16" x14ac:dyDescent="0.25">
      <c r="A3" s="8">
        <v>102</v>
      </c>
      <c r="B3" t="s">
        <v>214</v>
      </c>
      <c r="C3">
        <v>119</v>
      </c>
      <c r="D3">
        <v>389</v>
      </c>
      <c r="H3">
        <v>156</v>
      </c>
      <c r="I3">
        <v>272</v>
      </c>
      <c r="L3">
        <v>585</v>
      </c>
      <c r="O3">
        <v>131</v>
      </c>
    </row>
    <row r="4" spans="1:16" x14ac:dyDescent="0.25">
      <c r="A4" s="8">
        <v>103</v>
      </c>
      <c r="B4" t="s">
        <v>215</v>
      </c>
      <c r="C4">
        <v>83</v>
      </c>
      <c r="D4">
        <v>292</v>
      </c>
      <c r="H4">
        <v>108</v>
      </c>
      <c r="I4">
        <v>191</v>
      </c>
      <c r="L4">
        <v>411</v>
      </c>
      <c r="O4">
        <v>92</v>
      </c>
    </row>
    <row r="5" spans="1:16" x14ac:dyDescent="0.25">
      <c r="A5" s="8">
        <v>104</v>
      </c>
      <c r="B5" t="s">
        <v>216</v>
      </c>
      <c r="C5">
        <v>130</v>
      </c>
      <c r="D5">
        <v>389</v>
      </c>
      <c r="H5">
        <v>157</v>
      </c>
      <c r="I5">
        <v>297</v>
      </c>
      <c r="L5">
        <v>639</v>
      </c>
      <c r="O5">
        <v>142</v>
      </c>
    </row>
    <row r="6" spans="1:16" x14ac:dyDescent="0.25">
      <c r="A6" s="8">
        <v>105</v>
      </c>
      <c r="B6" t="s">
        <v>217</v>
      </c>
      <c r="C6">
        <v>123</v>
      </c>
      <c r="D6">
        <v>389</v>
      </c>
      <c r="H6">
        <v>145</v>
      </c>
      <c r="I6">
        <v>282</v>
      </c>
      <c r="L6">
        <v>607</v>
      </c>
      <c r="O6">
        <v>135</v>
      </c>
    </row>
    <row r="7" spans="1:16" x14ac:dyDescent="0.25">
      <c r="A7" s="8">
        <v>106</v>
      </c>
      <c r="B7" t="s">
        <v>218</v>
      </c>
      <c r="C7">
        <v>122</v>
      </c>
      <c r="D7">
        <v>455</v>
      </c>
      <c r="H7">
        <v>156</v>
      </c>
      <c r="I7">
        <v>280</v>
      </c>
      <c r="L7">
        <v>604</v>
      </c>
      <c r="O7">
        <v>135</v>
      </c>
    </row>
    <row r="8" spans="1:16" x14ac:dyDescent="0.25">
      <c r="A8" s="8">
        <v>107</v>
      </c>
      <c r="B8" t="s">
        <v>219</v>
      </c>
      <c r="C8">
        <v>55</v>
      </c>
      <c r="D8">
        <v>227</v>
      </c>
      <c r="H8">
        <v>69</v>
      </c>
      <c r="I8">
        <v>126</v>
      </c>
      <c r="L8">
        <v>273</v>
      </c>
      <c r="O8">
        <v>61</v>
      </c>
    </row>
    <row r="9" spans="1:16" x14ac:dyDescent="0.25">
      <c r="A9" s="8">
        <v>108</v>
      </c>
      <c r="B9" t="s">
        <v>222</v>
      </c>
      <c r="C9">
        <v>96</v>
      </c>
      <c r="D9">
        <v>341</v>
      </c>
      <c r="H9">
        <v>115</v>
      </c>
      <c r="I9">
        <v>220</v>
      </c>
      <c r="L9">
        <v>474</v>
      </c>
      <c r="O9">
        <v>106</v>
      </c>
    </row>
    <row r="10" spans="1:16" x14ac:dyDescent="0.25">
      <c r="A10" s="8">
        <v>109</v>
      </c>
      <c r="B10" t="s">
        <v>221</v>
      </c>
      <c r="C10">
        <v>123</v>
      </c>
      <c r="D10">
        <v>455</v>
      </c>
      <c r="H10">
        <v>150</v>
      </c>
      <c r="I10">
        <v>282</v>
      </c>
      <c r="L10">
        <v>607</v>
      </c>
      <c r="O10">
        <v>136</v>
      </c>
    </row>
    <row r="11" spans="1:16" x14ac:dyDescent="0.25">
      <c r="A11" s="8">
        <v>110</v>
      </c>
      <c r="B11" t="s">
        <v>220</v>
      </c>
      <c r="C11">
        <v>129</v>
      </c>
      <c r="D11">
        <v>521</v>
      </c>
      <c r="H11">
        <v>156</v>
      </c>
      <c r="I11">
        <v>295</v>
      </c>
      <c r="L11">
        <v>635</v>
      </c>
      <c r="O11">
        <v>141</v>
      </c>
    </row>
    <row r="12" spans="1:16" x14ac:dyDescent="0.25">
      <c r="A12" s="8">
        <v>111</v>
      </c>
      <c r="B12" t="s">
        <v>223</v>
      </c>
      <c r="C12">
        <v>58</v>
      </c>
      <c r="D12">
        <v>260</v>
      </c>
      <c r="H12">
        <v>69</v>
      </c>
      <c r="I12">
        <v>133</v>
      </c>
      <c r="L12">
        <v>287</v>
      </c>
      <c r="O12">
        <v>64</v>
      </c>
    </row>
    <row r="13" spans="1:16" x14ac:dyDescent="0.25">
      <c r="A13" s="8">
        <v>112</v>
      </c>
      <c r="B13" t="s">
        <v>225</v>
      </c>
      <c r="C13">
        <v>91</v>
      </c>
      <c r="D13">
        <v>391</v>
      </c>
      <c r="H13">
        <v>101</v>
      </c>
      <c r="I13">
        <v>209</v>
      </c>
      <c r="L13">
        <v>449</v>
      </c>
      <c r="O13">
        <v>100</v>
      </c>
    </row>
    <row r="14" spans="1:16" x14ac:dyDescent="0.25">
      <c r="A14">
        <v>113</v>
      </c>
      <c r="B14" t="s">
        <v>224</v>
      </c>
      <c r="C14" s="8">
        <v>86</v>
      </c>
      <c r="D14" s="8">
        <v>391</v>
      </c>
      <c r="E14" s="8"/>
      <c r="F14" s="8"/>
      <c r="G14" s="8"/>
      <c r="H14" s="8">
        <v>101</v>
      </c>
      <c r="I14" s="8">
        <v>197</v>
      </c>
      <c r="J14" s="8"/>
      <c r="K14" s="8"/>
      <c r="L14" s="8">
        <v>425</v>
      </c>
      <c r="M14" s="8"/>
      <c r="N14" s="8"/>
      <c r="O14" s="8">
        <v>95</v>
      </c>
      <c r="P14" s="8"/>
    </row>
    <row r="15" spans="1:16" x14ac:dyDescent="0.25">
      <c r="A15" s="8">
        <v>114</v>
      </c>
      <c r="B15" t="s">
        <v>226</v>
      </c>
      <c r="C15">
        <v>94</v>
      </c>
      <c r="D15">
        <v>440</v>
      </c>
      <c r="H15">
        <v>111</v>
      </c>
      <c r="I15">
        <v>215</v>
      </c>
      <c r="L15">
        <v>464</v>
      </c>
      <c r="O15">
        <v>104</v>
      </c>
    </row>
    <row r="16" spans="1:16" x14ac:dyDescent="0.25">
      <c r="A16" s="8">
        <v>115</v>
      </c>
      <c r="B16" t="s">
        <v>227</v>
      </c>
      <c r="C16">
        <v>60</v>
      </c>
      <c r="D16">
        <v>293</v>
      </c>
      <c r="H16">
        <v>70</v>
      </c>
      <c r="I16">
        <v>139</v>
      </c>
      <c r="L16">
        <v>299</v>
      </c>
      <c r="O16">
        <v>67</v>
      </c>
    </row>
    <row r="17" spans="1:15" x14ac:dyDescent="0.25">
      <c r="A17" s="8">
        <v>116</v>
      </c>
      <c r="B17" t="s">
        <v>228</v>
      </c>
      <c r="C17">
        <v>162</v>
      </c>
      <c r="D17">
        <v>733</v>
      </c>
      <c r="H17">
        <v>175</v>
      </c>
      <c r="I17">
        <v>371</v>
      </c>
      <c r="L17">
        <v>798</v>
      </c>
      <c r="O17">
        <v>179</v>
      </c>
    </row>
    <row r="18" spans="1:15" x14ac:dyDescent="0.25">
      <c r="A18" s="8">
        <v>117</v>
      </c>
      <c r="B18" t="s">
        <v>229</v>
      </c>
      <c r="C18">
        <v>202</v>
      </c>
      <c r="D18">
        <v>816</v>
      </c>
      <c r="H18">
        <v>187</v>
      </c>
      <c r="I18">
        <v>463</v>
      </c>
      <c r="L18">
        <v>997</v>
      </c>
      <c r="O18">
        <v>222</v>
      </c>
    </row>
    <row r="19" spans="1:15" x14ac:dyDescent="0.25">
      <c r="A19" s="8">
        <v>118</v>
      </c>
      <c r="B19" t="s">
        <v>230</v>
      </c>
      <c r="C19">
        <v>294</v>
      </c>
      <c r="D19">
        <v>1020</v>
      </c>
      <c r="H19">
        <v>282</v>
      </c>
      <c r="I19">
        <v>672</v>
      </c>
      <c r="L19">
        <v>1446</v>
      </c>
      <c r="O19">
        <v>323</v>
      </c>
    </row>
    <row r="20" spans="1:15" x14ac:dyDescent="0.25">
      <c r="A20" s="8">
        <v>119</v>
      </c>
      <c r="B20" t="s">
        <v>231</v>
      </c>
      <c r="C20">
        <v>81</v>
      </c>
      <c r="E20">
        <v>337</v>
      </c>
      <c r="H20">
        <v>101</v>
      </c>
      <c r="I20">
        <v>184</v>
      </c>
      <c r="M20">
        <v>429</v>
      </c>
      <c r="O20">
        <v>89</v>
      </c>
    </row>
    <row r="21" spans="1:15" x14ac:dyDescent="0.25">
      <c r="A21" s="8">
        <v>120</v>
      </c>
      <c r="B21" t="s">
        <v>381</v>
      </c>
      <c r="C21">
        <v>115</v>
      </c>
      <c r="E21">
        <v>449</v>
      </c>
      <c r="H21">
        <v>149</v>
      </c>
      <c r="I21">
        <v>264</v>
      </c>
      <c r="M21">
        <v>614</v>
      </c>
      <c r="O21">
        <v>127</v>
      </c>
    </row>
    <row r="22" spans="1:15" x14ac:dyDescent="0.25">
      <c r="A22" s="8">
        <v>121</v>
      </c>
      <c r="B22" t="s">
        <v>382</v>
      </c>
      <c r="C22">
        <v>112</v>
      </c>
      <c r="E22">
        <v>449</v>
      </c>
      <c r="H22">
        <v>148</v>
      </c>
      <c r="I22">
        <v>257</v>
      </c>
      <c r="M22">
        <v>596</v>
      </c>
      <c r="O22">
        <v>123</v>
      </c>
    </row>
    <row r="23" spans="1:15" x14ac:dyDescent="0.25">
      <c r="A23" s="8">
        <v>122</v>
      </c>
      <c r="B23" t="s">
        <v>383</v>
      </c>
      <c r="C23">
        <v>83</v>
      </c>
      <c r="E23">
        <v>394</v>
      </c>
      <c r="H23">
        <v>100</v>
      </c>
      <c r="I23">
        <v>191</v>
      </c>
      <c r="M23">
        <v>442</v>
      </c>
      <c r="O23">
        <v>92</v>
      </c>
    </row>
    <row r="24" spans="1:15" x14ac:dyDescent="0.25">
      <c r="A24" s="8">
        <v>123</v>
      </c>
      <c r="B24" t="s">
        <v>384</v>
      </c>
      <c r="C24">
        <v>118</v>
      </c>
      <c r="E24">
        <v>526</v>
      </c>
      <c r="H24">
        <v>149</v>
      </c>
      <c r="I24">
        <v>271</v>
      </c>
      <c r="M24">
        <v>630</v>
      </c>
      <c r="O24">
        <v>130</v>
      </c>
    </row>
    <row r="25" spans="1:15" x14ac:dyDescent="0.25">
      <c r="A25" s="8">
        <v>124</v>
      </c>
      <c r="B25" t="s">
        <v>385</v>
      </c>
      <c r="C25">
        <v>117</v>
      </c>
      <c r="E25">
        <v>526</v>
      </c>
      <c r="H25">
        <v>148</v>
      </c>
      <c r="I25">
        <v>269</v>
      </c>
      <c r="M25">
        <v>625</v>
      </c>
      <c r="O25">
        <v>129</v>
      </c>
    </row>
    <row r="26" spans="1:15" x14ac:dyDescent="0.25">
      <c r="A26" s="8">
        <v>125</v>
      </c>
      <c r="B26" t="s">
        <v>386</v>
      </c>
      <c r="C26">
        <v>87</v>
      </c>
      <c r="E26">
        <v>451</v>
      </c>
      <c r="H26">
        <v>100</v>
      </c>
      <c r="I26">
        <v>200</v>
      </c>
      <c r="M26">
        <v>465</v>
      </c>
      <c r="O26">
        <v>96</v>
      </c>
    </row>
    <row r="27" spans="1:15" x14ac:dyDescent="0.25">
      <c r="A27" s="8">
        <v>126</v>
      </c>
      <c r="B27" t="s">
        <v>387</v>
      </c>
      <c r="C27">
        <v>125</v>
      </c>
      <c r="E27">
        <v>602</v>
      </c>
      <c r="H27">
        <v>149</v>
      </c>
      <c r="I27">
        <v>285</v>
      </c>
      <c r="M27">
        <v>662</v>
      </c>
      <c r="O27">
        <v>138</v>
      </c>
    </row>
    <row r="28" spans="1:15" x14ac:dyDescent="0.25">
      <c r="A28" s="8">
        <v>127</v>
      </c>
      <c r="B28" t="s">
        <v>388</v>
      </c>
      <c r="C28">
        <v>123</v>
      </c>
      <c r="E28">
        <v>602</v>
      </c>
      <c r="H28">
        <v>148</v>
      </c>
      <c r="I28">
        <v>282</v>
      </c>
      <c r="M28">
        <v>656</v>
      </c>
      <c r="O28">
        <v>136</v>
      </c>
    </row>
    <row r="29" spans="1:15" x14ac:dyDescent="0.25">
      <c r="A29" s="8">
        <v>128</v>
      </c>
      <c r="B29" t="s">
        <v>389</v>
      </c>
      <c r="C29">
        <v>88</v>
      </c>
      <c r="E29">
        <v>509</v>
      </c>
      <c r="H29">
        <v>100</v>
      </c>
      <c r="I29">
        <v>202</v>
      </c>
      <c r="M29">
        <v>471</v>
      </c>
      <c r="O29">
        <v>98</v>
      </c>
    </row>
    <row r="30" spans="1:15" x14ac:dyDescent="0.25">
      <c r="A30" s="8">
        <v>129</v>
      </c>
      <c r="B30" t="s">
        <v>391</v>
      </c>
      <c r="C30">
        <v>127</v>
      </c>
      <c r="E30">
        <v>678</v>
      </c>
      <c r="H30">
        <v>148</v>
      </c>
      <c r="I30">
        <v>291</v>
      </c>
      <c r="M30">
        <v>678</v>
      </c>
      <c r="O30">
        <v>141</v>
      </c>
    </row>
    <row r="31" spans="1:15" x14ac:dyDescent="0.25">
      <c r="A31" s="8">
        <v>130</v>
      </c>
      <c r="B31" t="s">
        <v>390</v>
      </c>
      <c r="C31">
        <v>127</v>
      </c>
      <c r="E31">
        <v>678</v>
      </c>
      <c r="H31">
        <v>148</v>
      </c>
      <c r="I31">
        <v>290</v>
      </c>
      <c r="M31">
        <v>675</v>
      </c>
      <c r="O31">
        <v>140</v>
      </c>
    </row>
    <row r="32" spans="1:15" x14ac:dyDescent="0.25">
      <c r="A32" s="8">
        <v>132</v>
      </c>
      <c r="B32" t="s">
        <v>392</v>
      </c>
      <c r="C32">
        <v>172</v>
      </c>
      <c r="E32">
        <v>943</v>
      </c>
      <c r="H32">
        <v>189</v>
      </c>
      <c r="I32">
        <v>395</v>
      </c>
      <c r="M32">
        <v>917</v>
      </c>
      <c r="O32">
        <v>190</v>
      </c>
    </row>
    <row r="33" spans="1:15" x14ac:dyDescent="0.25">
      <c r="A33" s="8">
        <v>133</v>
      </c>
      <c r="B33" t="s">
        <v>232</v>
      </c>
      <c r="C33">
        <v>218</v>
      </c>
      <c r="E33">
        <v>1179</v>
      </c>
      <c r="H33">
        <v>278</v>
      </c>
      <c r="I33">
        <v>499</v>
      </c>
      <c r="M33">
        <v>1158</v>
      </c>
      <c r="O33">
        <v>239</v>
      </c>
    </row>
    <row r="34" spans="1:15" x14ac:dyDescent="0.25">
      <c r="A34" s="8">
        <v>134</v>
      </c>
      <c r="B34" t="s">
        <v>233</v>
      </c>
      <c r="C34">
        <v>102</v>
      </c>
      <c r="E34">
        <v>566</v>
      </c>
      <c r="H34">
        <v>98</v>
      </c>
      <c r="I34">
        <v>232</v>
      </c>
      <c r="M34">
        <v>541</v>
      </c>
      <c r="O34">
        <v>112</v>
      </c>
    </row>
    <row r="35" spans="1:15" x14ac:dyDescent="0.25">
      <c r="A35" s="8">
        <v>135</v>
      </c>
      <c r="B35" t="s">
        <v>234</v>
      </c>
      <c r="C35">
        <v>83</v>
      </c>
      <c r="E35">
        <v>566</v>
      </c>
      <c r="H35">
        <v>87</v>
      </c>
      <c r="I35">
        <v>189</v>
      </c>
      <c r="M35">
        <v>441</v>
      </c>
      <c r="O35">
        <v>92</v>
      </c>
    </row>
    <row r="36" spans="1:15" x14ac:dyDescent="0.25">
      <c r="A36" s="8">
        <v>201</v>
      </c>
      <c r="B36" t="s">
        <v>239</v>
      </c>
      <c r="C36">
        <v>401</v>
      </c>
      <c r="J36">
        <v>1210</v>
      </c>
    </row>
    <row r="37" spans="1:15" x14ac:dyDescent="0.25">
      <c r="A37" s="8">
        <v>202</v>
      </c>
      <c r="B37" t="s">
        <v>255</v>
      </c>
      <c r="C37">
        <v>114</v>
      </c>
      <c r="F37">
        <v>286</v>
      </c>
      <c r="H37">
        <v>153</v>
      </c>
      <c r="J37">
        <v>344</v>
      </c>
      <c r="N37">
        <v>392</v>
      </c>
      <c r="O37">
        <v>125</v>
      </c>
    </row>
    <row r="38" spans="1:15" x14ac:dyDescent="0.25">
      <c r="A38" s="8">
        <v>203</v>
      </c>
      <c r="B38" t="s">
        <v>256</v>
      </c>
      <c r="C38">
        <v>84</v>
      </c>
      <c r="F38">
        <v>214</v>
      </c>
      <c r="H38">
        <v>106</v>
      </c>
      <c r="J38">
        <v>255</v>
      </c>
      <c r="N38">
        <v>290</v>
      </c>
      <c r="O38">
        <v>93</v>
      </c>
    </row>
    <row r="39" spans="1:15" x14ac:dyDescent="0.25">
      <c r="A39" s="8">
        <v>204</v>
      </c>
      <c r="B39" t="s">
        <v>257</v>
      </c>
      <c r="C39">
        <v>81</v>
      </c>
      <c r="F39">
        <v>214</v>
      </c>
      <c r="H39">
        <v>105</v>
      </c>
      <c r="J39">
        <v>246</v>
      </c>
      <c r="N39">
        <v>279</v>
      </c>
      <c r="O39">
        <v>89</v>
      </c>
    </row>
    <row r="40" spans="1:15" x14ac:dyDescent="0.25">
      <c r="A40" s="8">
        <v>205</v>
      </c>
      <c r="B40" t="s">
        <v>258</v>
      </c>
      <c r="C40">
        <v>118</v>
      </c>
      <c r="F40">
        <v>286</v>
      </c>
      <c r="H40">
        <v>156</v>
      </c>
      <c r="J40">
        <v>356</v>
      </c>
      <c r="N40">
        <v>405</v>
      </c>
      <c r="O40">
        <v>130</v>
      </c>
    </row>
    <row r="41" spans="1:15" x14ac:dyDescent="0.25">
      <c r="A41" s="8">
        <v>206</v>
      </c>
      <c r="B41" t="s">
        <v>259</v>
      </c>
      <c r="C41">
        <v>120</v>
      </c>
      <c r="F41">
        <v>335</v>
      </c>
      <c r="H41">
        <v>153</v>
      </c>
      <c r="J41">
        <v>363</v>
      </c>
      <c r="N41">
        <v>413</v>
      </c>
      <c r="O41">
        <v>133</v>
      </c>
    </row>
    <row r="42" spans="1:15" x14ac:dyDescent="0.25">
      <c r="A42" s="8">
        <v>207</v>
      </c>
      <c r="B42" t="s">
        <v>260</v>
      </c>
      <c r="C42">
        <v>89</v>
      </c>
      <c r="F42">
        <v>251</v>
      </c>
      <c r="H42">
        <v>106</v>
      </c>
      <c r="J42">
        <v>269</v>
      </c>
      <c r="N42">
        <v>306</v>
      </c>
      <c r="O42">
        <v>99</v>
      </c>
    </row>
    <row r="43" spans="1:15" x14ac:dyDescent="0.25">
      <c r="A43" s="8">
        <v>208</v>
      </c>
      <c r="B43" t="s">
        <v>261</v>
      </c>
      <c r="C43">
        <v>84</v>
      </c>
      <c r="F43">
        <v>251</v>
      </c>
      <c r="H43">
        <v>105</v>
      </c>
      <c r="J43">
        <v>254</v>
      </c>
      <c r="N43">
        <v>290</v>
      </c>
      <c r="O43">
        <v>93</v>
      </c>
    </row>
    <row r="44" spans="1:15" x14ac:dyDescent="0.25">
      <c r="A44" s="8">
        <v>209</v>
      </c>
      <c r="B44" t="s">
        <v>262</v>
      </c>
      <c r="C44">
        <v>124</v>
      </c>
      <c r="F44">
        <v>335</v>
      </c>
      <c r="H44">
        <v>156</v>
      </c>
      <c r="J44">
        <v>376</v>
      </c>
      <c r="N44">
        <v>427</v>
      </c>
      <c r="O44">
        <v>136</v>
      </c>
    </row>
    <row r="45" spans="1:15" x14ac:dyDescent="0.25">
      <c r="A45" s="8">
        <v>210</v>
      </c>
      <c r="B45" t="s">
        <v>263</v>
      </c>
      <c r="C45">
        <v>126</v>
      </c>
      <c r="F45">
        <v>385</v>
      </c>
      <c r="H45">
        <v>153</v>
      </c>
      <c r="J45">
        <v>381</v>
      </c>
      <c r="N45">
        <v>434</v>
      </c>
      <c r="O45">
        <v>139</v>
      </c>
    </row>
    <row r="46" spans="1:15" x14ac:dyDescent="0.25">
      <c r="A46" s="8">
        <v>211</v>
      </c>
      <c r="B46" t="s">
        <v>264</v>
      </c>
      <c r="C46">
        <v>91</v>
      </c>
      <c r="F46">
        <v>289</v>
      </c>
      <c r="H46">
        <v>106</v>
      </c>
      <c r="J46">
        <v>275</v>
      </c>
      <c r="N46">
        <v>313</v>
      </c>
      <c r="O46">
        <v>100</v>
      </c>
    </row>
    <row r="47" spans="1:15" x14ac:dyDescent="0.25">
      <c r="A47" s="8">
        <v>212</v>
      </c>
      <c r="B47" t="s">
        <v>266</v>
      </c>
      <c r="C47">
        <v>88</v>
      </c>
      <c r="F47">
        <v>289</v>
      </c>
      <c r="H47">
        <v>105</v>
      </c>
      <c r="J47">
        <v>267</v>
      </c>
      <c r="N47">
        <v>304</v>
      </c>
      <c r="O47">
        <v>97</v>
      </c>
    </row>
    <row r="48" spans="1:15" x14ac:dyDescent="0.25">
      <c r="A48" s="8">
        <v>213</v>
      </c>
      <c r="B48" t="s">
        <v>265</v>
      </c>
      <c r="C48">
        <v>131</v>
      </c>
      <c r="F48">
        <v>385</v>
      </c>
      <c r="H48">
        <v>156</v>
      </c>
      <c r="J48">
        <v>394</v>
      </c>
      <c r="N48">
        <v>449</v>
      </c>
      <c r="O48">
        <v>144</v>
      </c>
    </row>
    <row r="49" spans="1:16" x14ac:dyDescent="0.25">
      <c r="A49" s="8">
        <v>214</v>
      </c>
      <c r="B49" t="s">
        <v>267</v>
      </c>
      <c r="C49">
        <v>130</v>
      </c>
      <c r="F49">
        <v>434</v>
      </c>
      <c r="H49">
        <v>153</v>
      </c>
      <c r="J49">
        <v>392</v>
      </c>
      <c r="N49">
        <v>446</v>
      </c>
      <c r="O49">
        <v>143</v>
      </c>
    </row>
    <row r="50" spans="1:16" x14ac:dyDescent="0.25">
      <c r="A50" s="8">
        <v>215</v>
      </c>
      <c r="B50" t="s">
        <v>268</v>
      </c>
      <c r="C50">
        <v>93</v>
      </c>
      <c r="F50">
        <v>325</v>
      </c>
      <c r="H50">
        <v>106</v>
      </c>
      <c r="J50">
        <v>281</v>
      </c>
      <c r="N50">
        <v>319</v>
      </c>
      <c r="O50">
        <v>103</v>
      </c>
    </row>
    <row r="51" spans="1:16" x14ac:dyDescent="0.25">
      <c r="A51" s="8">
        <v>216</v>
      </c>
      <c r="B51" t="s">
        <v>269</v>
      </c>
      <c r="C51">
        <v>59</v>
      </c>
      <c r="F51">
        <v>217</v>
      </c>
      <c r="H51">
        <v>69</v>
      </c>
      <c r="J51">
        <v>180</v>
      </c>
      <c r="N51">
        <v>205</v>
      </c>
      <c r="O51">
        <v>66</v>
      </c>
    </row>
    <row r="52" spans="1:16" x14ac:dyDescent="0.25">
      <c r="A52" s="8">
        <v>217</v>
      </c>
      <c r="B52" t="s">
        <v>270</v>
      </c>
      <c r="C52">
        <v>166</v>
      </c>
      <c r="F52">
        <v>542</v>
      </c>
      <c r="H52">
        <v>194</v>
      </c>
      <c r="J52">
        <v>501</v>
      </c>
      <c r="N52">
        <v>570</v>
      </c>
      <c r="O52">
        <v>183</v>
      </c>
    </row>
    <row r="53" spans="1:16" x14ac:dyDescent="0.25">
      <c r="A53" s="8">
        <v>218</v>
      </c>
      <c r="B53" t="s">
        <v>271</v>
      </c>
      <c r="C53">
        <v>186</v>
      </c>
      <c r="F53">
        <v>603</v>
      </c>
      <c r="H53">
        <v>201</v>
      </c>
      <c r="J53">
        <v>561</v>
      </c>
      <c r="N53">
        <v>638</v>
      </c>
      <c r="O53">
        <v>204</v>
      </c>
    </row>
    <row r="54" spans="1:16" x14ac:dyDescent="0.25">
      <c r="A54" s="8">
        <v>219</v>
      </c>
      <c r="B54" t="s">
        <v>272</v>
      </c>
      <c r="C54">
        <v>61</v>
      </c>
      <c r="F54">
        <v>241</v>
      </c>
      <c r="H54">
        <v>69</v>
      </c>
      <c r="J54">
        <v>185</v>
      </c>
      <c r="N54">
        <v>210</v>
      </c>
      <c r="O54">
        <v>68</v>
      </c>
    </row>
    <row r="55" spans="1:16" x14ac:dyDescent="0.25">
      <c r="A55" s="8">
        <v>220</v>
      </c>
      <c r="B55" t="s">
        <v>273</v>
      </c>
      <c r="C55">
        <v>171</v>
      </c>
      <c r="F55">
        <v>603</v>
      </c>
      <c r="H55">
        <v>194</v>
      </c>
      <c r="J55">
        <v>515</v>
      </c>
      <c r="N55">
        <v>586</v>
      </c>
      <c r="O55">
        <v>188</v>
      </c>
    </row>
    <row r="56" spans="1:16" x14ac:dyDescent="0.25">
      <c r="A56" s="8">
        <v>221</v>
      </c>
      <c r="B56" t="s">
        <v>274</v>
      </c>
      <c r="C56">
        <v>178</v>
      </c>
      <c r="F56">
        <v>628</v>
      </c>
      <c r="H56">
        <v>201</v>
      </c>
      <c r="J56">
        <v>538</v>
      </c>
      <c r="N56">
        <v>612</v>
      </c>
      <c r="O56">
        <v>195</v>
      </c>
    </row>
    <row r="57" spans="1:16" x14ac:dyDescent="0.25">
      <c r="A57" s="8">
        <v>222</v>
      </c>
      <c r="B57" t="s">
        <v>251</v>
      </c>
      <c r="C57">
        <v>62</v>
      </c>
      <c r="F57">
        <v>251</v>
      </c>
      <c r="H57">
        <v>69</v>
      </c>
      <c r="J57">
        <v>189</v>
      </c>
      <c r="N57">
        <v>214</v>
      </c>
      <c r="O57">
        <v>69</v>
      </c>
    </row>
    <row r="58" spans="1:16" x14ac:dyDescent="0.25">
      <c r="A58" s="8">
        <v>223</v>
      </c>
      <c r="B58" t="s">
        <v>252</v>
      </c>
      <c r="C58">
        <v>174</v>
      </c>
      <c r="F58">
        <v>628</v>
      </c>
      <c r="H58">
        <v>194</v>
      </c>
      <c r="J58">
        <v>525</v>
      </c>
      <c r="N58">
        <v>596</v>
      </c>
      <c r="O58">
        <v>191</v>
      </c>
    </row>
    <row r="59" spans="1:16" x14ac:dyDescent="0.25">
      <c r="A59" s="8">
        <v>224</v>
      </c>
      <c r="B59" t="s">
        <v>253</v>
      </c>
      <c r="C59">
        <v>181</v>
      </c>
      <c r="F59">
        <v>646</v>
      </c>
      <c r="H59">
        <v>201</v>
      </c>
      <c r="J59">
        <v>547</v>
      </c>
      <c r="N59">
        <v>623</v>
      </c>
      <c r="O59">
        <v>199</v>
      </c>
    </row>
    <row r="60" spans="1:16" x14ac:dyDescent="0.25">
      <c r="A60">
        <v>225</v>
      </c>
      <c r="B60" t="s">
        <v>254</v>
      </c>
      <c r="C60" s="8">
        <v>197</v>
      </c>
      <c r="D60" s="8"/>
      <c r="E60" s="8"/>
      <c r="F60" s="8">
        <v>646</v>
      </c>
      <c r="G60" s="8"/>
      <c r="H60" s="8">
        <v>198</v>
      </c>
      <c r="I60" s="8"/>
      <c r="J60" s="8">
        <v>596</v>
      </c>
      <c r="K60" s="8"/>
      <c r="L60" s="8"/>
      <c r="M60" s="8"/>
      <c r="N60" s="8">
        <v>679</v>
      </c>
      <c r="O60" s="8">
        <v>217</v>
      </c>
      <c r="P60" s="8"/>
    </row>
    <row r="61" spans="1:16" x14ac:dyDescent="0.25">
      <c r="A61" s="8">
        <v>301</v>
      </c>
      <c r="B61" t="s">
        <v>249</v>
      </c>
      <c r="C61">
        <v>169</v>
      </c>
      <c r="H61">
        <v>255</v>
      </c>
      <c r="K61">
        <v>1031</v>
      </c>
      <c r="O61">
        <v>186</v>
      </c>
    </row>
    <row r="62" spans="1:16" x14ac:dyDescent="0.25">
      <c r="A62" s="8">
        <v>302</v>
      </c>
      <c r="B62" t="s">
        <v>250</v>
      </c>
      <c r="C62">
        <v>158</v>
      </c>
      <c r="H62">
        <v>223</v>
      </c>
      <c r="K62">
        <v>958</v>
      </c>
      <c r="O62">
        <v>175</v>
      </c>
    </row>
    <row r="63" spans="1:16" x14ac:dyDescent="0.25">
      <c r="A63" s="8">
        <v>303</v>
      </c>
      <c r="B63" t="s">
        <v>248</v>
      </c>
      <c r="C63">
        <v>71</v>
      </c>
      <c r="H63">
        <v>96</v>
      </c>
      <c r="K63">
        <v>429</v>
      </c>
      <c r="O63">
        <v>78</v>
      </c>
    </row>
    <row r="64" spans="1:16" x14ac:dyDescent="0.25">
      <c r="A64" s="8">
        <v>305</v>
      </c>
      <c r="B64" t="s">
        <v>247</v>
      </c>
      <c r="C64">
        <v>134</v>
      </c>
      <c r="G64">
        <v>1076</v>
      </c>
      <c r="H64">
        <v>182</v>
      </c>
      <c r="K64">
        <v>839</v>
      </c>
      <c r="O64">
        <v>147</v>
      </c>
    </row>
    <row r="65" spans="1:16" x14ac:dyDescent="0.25">
      <c r="A65" s="8">
        <v>306</v>
      </c>
      <c r="B65" t="s">
        <v>246</v>
      </c>
      <c r="C65">
        <v>147</v>
      </c>
      <c r="G65">
        <v>1076</v>
      </c>
      <c r="H65">
        <v>181</v>
      </c>
      <c r="K65">
        <v>924</v>
      </c>
      <c r="O65">
        <v>163</v>
      </c>
    </row>
    <row r="66" spans="1:16" x14ac:dyDescent="0.25">
      <c r="A66" s="8">
        <v>307</v>
      </c>
      <c r="B66" t="s">
        <v>245</v>
      </c>
      <c r="C66">
        <v>155</v>
      </c>
      <c r="G66">
        <v>1258</v>
      </c>
      <c r="H66">
        <v>194</v>
      </c>
      <c r="K66">
        <v>971</v>
      </c>
      <c r="O66">
        <v>170</v>
      </c>
    </row>
    <row r="67" spans="1:16" x14ac:dyDescent="0.25">
      <c r="A67">
        <v>308</v>
      </c>
      <c r="B67" t="s">
        <v>244</v>
      </c>
      <c r="C67" s="8">
        <v>75</v>
      </c>
      <c r="D67" s="8"/>
      <c r="E67" s="8"/>
      <c r="F67" s="8"/>
      <c r="G67" s="8">
        <v>755</v>
      </c>
      <c r="H67" s="8">
        <v>93</v>
      </c>
      <c r="I67" s="8"/>
      <c r="J67" s="8"/>
      <c r="K67" s="8">
        <v>469</v>
      </c>
      <c r="L67" s="8"/>
      <c r="M67" s="8"/>
      <c r="N67" s="8"/>
      <c r="O67" s="8">
        <v>82</v>
      </c>
      <c r="P67" s="8"/>
    </row>
    <row r="68" spans="1:16" x14ac:dyDescent="0.25">
      <c r="A68" s="8">
        <v>310</v>
      </c>
      <c r="B68" t="s">
        <v>243</v>
      </c>
      <c r="C68">
        <v>52</v>
      </c>
      <c r="G68">
        <v>577</v>
      </c>
      <c r="H68">
        <v>64</v>
      </c>
      <c r="K68">
        <v>330</v>
      </c>
      <c r="O68">
        <v>58</v>
      </c>
    </row>
    <row r="69" spans="1:16" x14ac:dyDescent="0.25">
      <c r="A69" s="8">
        <v>311</v>
      </c>
      <c r="B69" t="s">
        <v>242</v>
      </c>
      <c r="C69">
        <v>193</v>
      </c>
      <c r="G69">
        <v>1729</v>
      </c>
      <c r="H69">
        <v>222</v>
      </c>
      <c r="K69">
        <v>1210</v>
      </c>
      <c r="O69">
        <v>212</v>
      </c>
    </row>
    <row r="70" spans="1:16" x14ac:dyDescent="0.25">
      <c r="A70" s="8">
        <v>312</v>
      </c>
      <c r="B70" t="s">
        <v>241</v>
      </c>
      <c r="C70">
        <v>133</v>
      </c>
      <c r="G70">
        <v>1153</v>
      </c>
      <c r="H70">
        <v>148</v>
      </c>
      <c r="K70">
        <v>834</v>
      </c>
      <c r="O70">
        <v>147</v>
      </c>
    </row>
    <row r="71" spans="1:16" x14ac:dyDescent="0.25">
      <c r="A71" s="8">
        <v>313</v>
      </c>
      <c r="B71" t="s">
        <v>235</v>
      </c>
      <c r="C71">
        <v>72</v>
      </c>
      <c r="H71">
        <v>97</v>
      </c>
      <c r="K71">
        <v>434</v>
      </c>
      <c r="O71">
        <v>79</v>
      </c>
    </row>
    <row r="72" spans="1:16" x14ac:dyDescent="0.25">
      <c r="A72" s="8">
        <v>314</v>
      </c>
      <c r="B72" t="s">
        <v>236</v>
      </c>
      <c r="C72">
        <v>79</v>
      </c>
      <c r="H72">
        <v>105</v>
      </c>
      <c r="K72">
        <v>477</v>
      </c>
      <c r="O72">
        <v>87</v>
      </c>
    </row>
    <row r="73" spans="1:16" x14ac:dyDescent="0.25">
      <c r="A73" s="8">
        <v>315</v>
      </c>
      <c r="B73" t="s">
        <v>237</v>
      </c>
      <c r="C73">
        <v>85</v>
      </c>
      <c r="G73">
        <v>755</v>
      </c>
      <c r="H73">
        <v>96</v>
      </c>
      <c r="K73">
        <v>531</v>
      </c>
      <c r="O73">
        <v>93</v>
      </c>
    </row>
    <row r="74" spans="1:16" x14ac:dyDescent="0.25">
      <c r="A74" s="8">
        <v>316</v>
      </c>
      <c r="B74" t="s">
        <v>238</v>
      </c>
      <c r="C74">
        <v>90</v>
      </c>
      <c r="G74">
        <v>755</v>
      </c>
      <c r="H74">
        <v>87</v>
      </c>
      <c r="K74">
        <v>563</v>
      </c>
      <c r="O74">
        <v>99</v>
      </c>
    </row>
    <row r="75" spans="1:16" x14ac:dyDescent="0.25">
      <c r="A75" s="8">
        <v>401</v>
      </c>
      <c r="B75" t="s">
        <v>287</v>
      </c>
      <c r="C75">
        <v>7</v>
      </c>
      <c r="E75">
        <v>45</v>
      </c>
      <c r="O75">
        <v>7</v>
      </c>
      <c r="P75" s="8">
        <v>1</v>
      </c>
    </row>
    <row r="76" spans="1:16" x14ac:dyDescent="0.25">
      <c r="A76" s="8">
        <v>402</v>
      </c>
      <c r="B76" t="s">
        <v>288</v>
      </c>
      <c r="C76">
        <v>7</v>
      </c>
      <c r="E76">
        <v>45</v>
      </c>
      <c r="O76">
        <v>7</v>
      </c>
      <c r="P76" s="8">
        <v>1</v>
      </c>
    </row>
    <row r="77" spans="1:16" x14ac:dyDescent="0.25">
      <c r="A77" s="8">
        <v>403</v>
      </c>
      <c r="B77" t="s">
        <v>289</v>
      </c>
      <c r="C77">
        <v>7</v>
      </c>
      <c r="D77">
        <v>39</v>
      </c>
      <c r="O77">
        <v>7</v>
      </c>
      <c r="P77" s="8">
        <v>1</v>
      </c>
    </row>
    <row r="78" spans="1:16" x14ac:dyDescent="0.25">
      <c r="A78" s="8">
        <v>404</v>
      </c>
      <c r="B78" t="s">
        <v>290</v>
      </c>
      <c r="C78">
        <v>7</v>
      </c>
      <c r="D78">
        <v>39</v>
      </c>
      <c r="O78">
        <v>7</v>
      </c>
      <c r="P78" s="8">
        <v>1</v>
      </c>
    </row>
    <row r="79" spans="1:16" x14ac:dyDescent="0.25">
      <c r="A79" s="8">
        <v>405</v>
      </c>
      <c r="B79" t="s">
        <v>291</v>
      </c>
      <c r="C79">
        <v>7</v>
      </c>
      <c r="D79">
        <v>39</v>
      </c>
      <c r="O79">
        <v>7</v>
      </c>
      <c r="P79" s="8">
        <v>1</v>
      </c>
    </row>
    <row r="80" spans="1:16" x14ac:dyDescent="0.25">
      <c r="A80" s="8">
        <v>406</v>
      </c>
      <c r="B80" t="s">
        <v>292</v>
      </c>
      <c r="C80">
        <v>7</v>
      </c>
      <c r="D80">
        <v>39</v>
      </c>
      <c r="O80">
        <v>7</v>
      </c>
      <c r="P80" s="8">
        <v>1</v>
      </c>
    </row>
    <row r="81" spans="1:16" x14ac:dyDescent="0.25">
      <c r="A81" s="8">
        <v>407</v>
      </c>
      <c r="B81" t="s">
        <v>293</v>
      </c>
      <c r="C81">
        <v>7</v>
      </c>
      <c r="E81">
        <v>45</v>
      </c>
      <c r="O81">
        <v>7</v>
      </c>
      <c r="P81" s="8">
        <v>1</v>
      </c>
    </row>
    <row r="82" spans="1:16" x14ac:dyDescent="0.25">
      <c r="A82" s="8">
        <v>408</v>
      </c>
      <c r="B82" t="s">
        <v>294</v>
      </c>
      <c r="C82">
        <v>7</v>
      </c>
      <c r="D82">
        <v>39</v>
      </c>
      <c r="O82">
        <v>7</v>
      </c>
      <c r="P82" s="8">
        <v>1</v>
      </c>
    </row>
    <row r="83" spans="1:16" x14ac:dyDescent="0.25">
      <c r="A83" s="8">
        <v>409</v>
      </c>
      <c r="B83" t="s">
        <v>295</v>
      </c>
      <c r="C83">
        <v>7</v>
      </c>
      <c r="E83">
        <v>45</v>
      </c>
      <c r="O83">
        <v>7</v>
      </c>
      <c r="P83" s="8">
        <v>1</v>
      </c>
    </row>
    <row r="84" spans="1:16" x14ac:dyDescent="0.25">
      <c r="A84" s="8">
        <v>410</v>
      </c>
      <c r="B84" t="s">
        <v>296</v>
      </c>
      <c r="C84">
        <v>7</v>
      </c>
      <c r="E84">
        <v>45</v>
      </c>
      <c r="O84">
        <v>7</v>
      </c>
      <c r="P84" s="8">
        <v>1</v>
      </c>
    </row>
    <row r="85" spans="1:16" x14ac:dyDescent="0.25">
      <c r="A85" s="8">
        <v>411</v>
      </c>
      <c r="B85" t="s">
        <v>297</v>
      </c>
      <c r="C85">
        <v>7</v>
      </c>
      <c r="E85">
        <v>45</v>
      </c>
      <c r="O85">
        <v>7</v>
      </c>
      <c r="P85" s="8">
        <v>1</v>
      </c>
    </row>
    <row r="86" spans="1:16" x14ac:dyDescent="0.25">
      <c r="A86" s="8">
        <v>412</v>
      </c>
      <c r="B86" t="s">
        <v>275</v>
      </c>
      <c r="C86">
        <v>7</v>
      </c>
      <c r="E86">
        <v>45</v>
      </c>
      <c r="O86">
        <v>7</v>
      </c>
      <c r="P86" s="8">
        <v>1</v>
      </c>
    </row>
    <row r="87" spans="1:16" x14ac:dyDescent="0.25">
      <c r="A87" s="8">
        <v>413</v>
      </c>
      <c r="B87" t="s">
        <v>298</v>
      </c>
      <c r="C87">
        <v>7</v>
      </c>
      <c r="E87">
        <v>45</v>
      </c>
      <c r="O87">
        <v>7</v>
      </c>
      <c r="P87" s="8">
        <v>1</v>
      </c>
    </row>
    <row r="88" spans="1:16" x14ac:dyDescent="0.25">
      <c r="A88" s="8">
        <v>414</v>
      </c>
      <c r="B88" t="s">
        <v>299</v>
      </c>
      <c r="C88">
        <v>7</v>
      </c>
      <c r="E88">
        <v>45</v>
      </c>
      <c r="O88">
        <v>7</v>
      </c>
      <c r="P88" s="8">
        <v>1</v>
      </c>
    </row>
    <row r="89" spans="1:16" x14ac:dyDescent="0.25">
      <c r="A89" s="8">
        <v>415</v>
      </c>
      <c r="B89" t="s">
        <v>300</v>
      </c>
      <c r="C89">
        <v>7</v>
      </c>
      <c r="E89">
        <v>45</v>
      </c>
      <c r="O89">
        <v>7</v>
      </c>
      <c r="P89" s="8">
        <v>1</v>
      </c>
    </row>
    <row r="90" spans="1:16" x14ac:dyDescent="0.25">
      <c r="A90" s="8">
        <v>416</v>
      </c>
      <c r="B90" t="s">
        <v>301</v>
      </c>
      <c r="C90">
        <v>7</v>
      </c>
      <c r="E90">
        <v>45</v>
      </c>
      <c r="O90">
        <v>7</v>
      </c>
      <c r="P90" s="8">
        <v>1</v>
      </c>
    </row>
    <row r="91" spans="1:16" x14ac:dyDescent="0.25">
      <c r="A91" s="8">
        <v>417</v>
      </c>
      <c r="B91" t="s">
        <v>302</v>
      </c>
      <c r="C91">
        <v>7</v>
      </c>
      <c r="E91">
        <v>45</v>
      </c>
      <c r="O91">
        <v>7</v>
      </c>
      <c r="P91" s="8">
        <v>1</v>
      </c>
    </row>
    <row r="92" spans="1:16" x14ac:dyDescent="0.25">
      <c r="A92" s="8">
        <v>418</v>
      </c>
      <c r="B92" t="s">
        <v>303</v>
      </c>
      <c r="C92">
        <v>7</v>
      </c>
      <c r="E92">
        <v>45</v>
      </c>
      <c r="O92">
        <v>7</v>
      </c>
      <c r="P92" s="8">
        <v>1</v>
      </c>
    </row>
    <row r="93" spans="1:16" x14ac:dyDescent="0.25">
      <c r="A93" s="8">
        <v>419</v>
      </c>
      <c r="B93" t="s">
        <v>304</v>
      </c>
      <c r="C93">
        <v>7</v>
      </c>
      <c r="F93">
        <v>29</v>
      </c>
      <c r="O93">
        <v>7</v>
      </c>
      <c r="P93" s="8">
        <v>1</v>
      </c>
    </row>
    <row r="94" spans="1:16" x14ac:dyDescent="0.25">
      <c r="A94" s="8">
        <v>420</v>
      </c>
      <c r="B94" t="s">
        <v>305</v>
      </c>
      <c r="C94">
        <v>7</v>
      </c>
      <c r="F94">
        <v>29</v>
      </c>
      <c r="O94">
        <v>7</v>
      </c>
      <c r="P94" s="8">
        <v>1</v>
      </c>
    </row>
    <row r="95" spans="1:16" x14ac:dyDescent="0.25">
      <c r="A95" s="8">
        <v>421</v>
      </c>
      <c r="B95" t="s">
        <v>306</v>
      </c>
      <c r="C95">
        <v>7</v>
      </c>
      <c r="F95">
        <v>29</v>
      </c>
      <c r="O95">
        <v>7</v>
      </c>
      <c r="P95" s="8">
        <v>1</v>
      </c>
    </row>
    <row r="96" spans="1:16" x14ac:dyDescent="0.25">
      <c r="A96" s="8">
        <v>422</v>
      </c>
      <c r="B96" t="s">
        <v>307</v>
      </c>
      <c r="C96">
        <v>7</v>
      </c>
      <c r="F96">
        <v>29</v>
      </c>
      <c r="O96">
        <v>7</v>
      </c>
      <c r="P96" s="8">
        <v>1</v>
      </c>
    </row>
    <row r="97" spans="1:16" x14ac:dyDescent="0.25">
      <c r="A97" s="8">
        <v>423</v>
      </c>
      <c r="B97" t="s">
        <v>308</v>
      </c>
      <c r="C97">
        <v>7</v>
      </c>
      <c r="F97">
        <v>29</v>
      </c>
      <c r="O97">
        <v>7</v>
      </c>
      <c r="P97" s="8">
        <v>1</v>
      </c>
    </row>
    <row r="98" spans="1:16" x14ac:dyDescent="0.25">
      <c r="A98" s="8">
        <v>424</v>
      </c>
      <c r="B98" t="s">
        <v>309</v>
      </c>
      <c r="C98">
        <v>7</v>
      </c>
      <c r="F98">
        <v>29</v>
      </c>
      <c r="O98">
        <v>7</v>
      </c>
      <c r="P98" s="8">
        <v>1</v>
      </c>
    </row>
    <row r="99" spans="1:16" x14ac:dyDescent="0.25">
      <c r="A99" s="8">
        <v>425</v>
      </c>
      <c r="B99" t="s">
        <v>310</v>
      </c>
      <c r="C99">
        <v>7</v>
      </c>
      <c r="F99">
        <v>29</v>
      </c>
      <c r="O99">
        <v>7</v>
      </c>
      <c r="P99" s="8">
        <v>1</v>
      </c>
    </row>
    <row r="100" spans="1:16" x14ac:dyDescent="0.25">
      <c r="A100" s="8">
        <v>426</v>
      </c>
      <c r="B100" t="s">
        <v>311</v>
      </c>
      <c r="C100">
        <v>7</v>
      </c>
      <c r="F100">
        <v>29</v>
      </c>
      <c r="O100">
        <v>7</v>
      </c>
      <c r="P100" s="8">
        <v>1</v>
      </c>
    </row>
    <row r="101" spans="1:16" x14ac:dyDescent="0.25">
      <c r="A101" s="8">
        <v>427</v>
      </c>
      <c r="B101" t="s">
        <v>312</v>
      </c>
      <c r="C101">
        <v>7</v>
      </c>
      <c r="F101">
        <v>29</v>
      </c>
      <c r="O101">
        <v>7</v>
      </c>
      <c r="P101" s="8">
        <v>1</v>
      </c>
    </row>
    <row r="102" spans="1:16" x14ac:dyDescent="0.25">
      <c r="A102" s="8">
        <v>428</v>
      </c>
      <c r="B102" t="s">
        <v>313</v>
      </c>
      <c r="C102">
        <v>7</v>
      </c>
      <c r="F102">
        <v>29</v>
      </c>
      <c r="O102">
        <v>7</v>
      </c>
      <c r="P102" s="8">
        <v>1</v>
      </c>
    </row>
    <row r="103" spans="1:16" x14ac:dyDescent="0.25">
      <c r="A103" s="8">
        <v>429</v>
      </c>
      <c r="B103" t="s">
        <v>314</v>
      </c>
      <c r="C103">
        <v>7</v>
      </c>
      <c r="F103">
        <v>29</v>
      </c>
      <c r="O103">
        <v>7</v>
      </c>
      <c r="P103" s="8">
        <v>1</v>
      </c>
    </row>
    <row r="104" spans="1:16" x14ac:dyDescent="0.25">
      <c r="A104" s="8">
        <v>430</v>
      </c>
      <c r="B104" t="s">
        <v>315</v>
      </c>
      <c r="C104">
        <v>7</v>
      </c>
      <c r="F104">
        <v>29</v>
      </c>
      <c r="O104">
        <v>7</v>
      </c>
      <c r="P104" s="8">
        <v>1</v>
      </c>
    </row>
    <row r="105" spans="1:16" x14ac:dyDescent="0.25">
      <c r="A105" s="8">
        <v>431</v>
      </c>
      <c r="B105" t="s">
        <v>316</v>
      </c>
      <c r="C105">
        <v>7</v>
      </c>
      <c r="F105">
        <v>29</v>
      </c>
      <c r="O105">
        <v>7</v>
      </c>
      <c r="P105" s="8">
        <v>1</v>
      </c>
    </row>
    <row r="106" spans="1:16" x14ac:dyDescent="0.25">
      <c r="A106" s="8">
        <v>432</v>
      </c>
      <c r="B106" t="s">
        <v>317</v>
      </c>
      <c r="C106">
        <v>7</v>
      </c>
      <c r="F106">
        <v>29</v>
      </c>
      <c r="O106">
        <v>7</v>
      </c>
      <c r="P106" s="8">
        <v>1</v>
      </c>
    </row>
    <row r="107" spans="1:16" x14ac:dyDescent="0.25">
      <c r="A107" s="8">
        <v>433</v>
      </c>
      <c r="B107" t="s">
        <v>318</v>
      </c>
      <c r="C107">
        <v>7</v>
      </c>
      <c r="G107">
        <v>86</v>
      </c>
      <c r="O107">
        <v>7</v>
      </c>
      <c r="P107" s="8">
        <v>1</v>
      </c>
    </row>
    <row r="108" spans="1:16" x14ac:dyDescent="0.25">
      <c r="A108" s="8">
        <v>434</v>
      </c>
      <c r="B108" t="s">
        <v>319</v>
      </c>
      <c r="C108">
        <v>7</v>
      </c>
      <c r="G108">
        <v>86</v>
      </c>
      <c r="O108">
        <v>7</v>
      </c>
      <c r="P108" s="8">
        <v>1</v>
      </c>
    </row>
    <row r="109" spans="1:16" x14ac:dyDescent="0.25">
      <c r="A109" s="8">
        <v>435</v>
      </c>
      <c r="B109" t="s">
        <v>320</v>
      </c>
      <c r="C109">
        <v>7</v>
      </c>
      <c r="G109">
        <v>86</v>
      </c>
      <c r="O109">
        <v>7</v>
      </c>
      <c r="P109" s="8">
        <v>1</v>
      </c>
    </row>
    <row r="110" spans="1:16" x14ac:dyDescent="0.25">
      <c r="A110" s="8">
        <v>436</v>
      </c>
      <c r="B110" t="s">
        <v>321</v>
      </c>
      <c r="C110">
        <v>7</v>
      </c>
      <c r="G110">
        <v>86</v>
      </c>
      <c r="O110">
        <v>7</v>
      </c>
      <c r="P110" s="8">
        <v>1</v>
      </c>
    </row>
    <row r="111" spans="1:16" x14ac:dyDescent="0.25">
      <c r="A111" s="8">
        <v>437</v>
      </c>
      <c r="B111" t="s">
        <v>322</v>
      </c>
      <c r="C111">
        <v>7</v>
      </c>
      <c r="G111">
        <v>86</v>
      </c>
      <c r="O111">
        <v>7</v>
      </c>
      <c r="P111" s="8">
        <v>1</v>
      </c>
    </row>
    <row r="112" spans="1:16" x14ac:dyDescent="0.25">
      <c r="A112" s="8">
        <v>438</v>
      </c>
      <c r="B112" t="s">
        <v>323</v>
      </c>
      <c r="C112">
        <v>7</v>
      </c>
      <c r="G112">
        <v>86</v>
      </c>
      <c r="O112">
        <v>7</v>
      </c>
      <c r="P112" s="8">
        <v>1</v>
      </c>
    </row>
    <row r="113" spans="1:16" x14ac:dyDescent="0.25">
      <c r="A113" s="8">
        <v>439</v>
      </c>
      <c r="B113" t="s">
        <v>324</v>
      </c>
      <c r="C113">
        <v>7</v>
      </c>
      <c r="G113">
        <v>86</v>
      </c>
      <c r="O113">
        <v>7</v>
      </c>
      <c r="P113" s="8">
        <v>1</v>
      </c>
    </row>
    <row r="114" spans="1:16" x14ac:dyDescent="0.25">
      <c r="A114" s="8">
        <v>440</v>
      </c>
      <c r="B114" t="s">
        <v>325</v>
      </c>
      <c r="C114">
        <v>7</v>
      </c>
      <c r="G114">
        <v>86</v>
      </c>
      <c r="O114">
        <v>7</v>
      </c>
      <c r="P114" s="8">
        <v>1</v>
      </c>
    </row>
    <row r="115" spans="1:16" x14ac:dyDescent="0.25">
      <c r="A115" s="8">
        <v>441</v>
      </c>
      <c r="B115" t="s">
        <v>326</v>
      </c>
      <c r="C115">
        <v>7</v>
      </c>
      <c r="G115">
        <v>86</v>
      </c>
      <c r="O115">
        <v>7</v>
      </c>
      <c r="P115" s="8">
        <v>1</v>
      </c>
    </row>
    <row r="116" spans="1:16" x14ac:dyDescent="0.25">
      <c r="A116" s="8">
        <v>442</v>
      </c>
      <c r="B116" t="s">
        <v>327</v>
      </c>
      <c r="C116">
        <v>7</v>
      </c>
      <c r="G116">
        <v>86</v>
      </c>
      <c r="O116">
        <v>7</v>
      </c>
      <c r="P116" s="8">
        <v>1</v>
      </c>
    </row>
    <row r="117" spans="1:16" x14ac:dyDescent="0.25">
      <c r="A117" s="8">
        <v>443</v>
      </c>
      <c r="B117" t="s">
        <v>328</v>
      </c>
      <c r="C117">
        <v>7</v>
      </c>
      <c r="G117">
        <v>86</v>
      </c>
      <c r="O117">
        <v>7</v>
      </c>
      <c r="P117" s="8">
        <v>1</v>
      </c>
    </row>
    <row r="118" spans="1:16" x14ac:dyDescent="0.25">
      <c r="A118" s="8">
        <v>444</v>
      </c>
      <c r="B118" t="s">
        <v>329</v>
      </c>
      <c r="C118">
        <v>7</v>
      </c>
      <c r="G118">
        <v>86</v>
      </c>
      <c r="O118">
        <v>7</v>
      </c>
      <c r="P118" s="8">
        <v>1</v>
      </c>
    </row>
    <row r="119" spans="1:16" x14ac:dyDescent="0.25">
      <c r="A119" s="8">
        <v>445</v>
      </c>
      <c r="B119" t="s">
        <v>330</v>
      </c>
      <c r="C119">
        <v>7</v>
      </c>
      <c r="G119">
        <v>86</v>
      </c>
      <c r="O119">
        <v>7</v>
      </c>
      <c r="P119" s="8">
        <v>1</v>
      </c>
    </row>
    <row r="120" spans="1:16" x14ac:dyDescent="0.25">
      <c r="A120" s="8">
        <v>446</v>
      </c>
      <c r="B120" t="s">
        <v>331</v>
      </c>
      <c r="C120">
        <v>7</v>
      </c>
      <c r="F120">
        <v>29</v>
      </c>
      <c r="O120">
        <v>7</v>
      </c>
      <c r="P120" s="8">
        <v>1</v>
      </c>
    </row>
    <row r="121" spans="1:16" x14ac:dyDescent="0.25">
      <c r="A121" s="8">
        <v>447</v>
      </c>
      <c r="B121" t="s">
        <v>332</v>
      </c>
      <c r="C121">
        <v>7</v>
      </c>
      <c r="F121">
        <v>29</v>
      </c>
      <c r="O121">
        <v>7</v>
      </c>
      <c r="P121" s="8">
        <v>1</v>
      </c>
    </row>
    <row r="122" spans="1:16" x14ac:dyDescent="0.25">
      <c r="A122" s="8">
        <v>448</v>
      </c>
      <c r="B122" t="s">
        <v>333</v>
      </c>
      <c r="C122">
        <v>7</v>
      </c>
      <c r="F122">
        <v>29</v>
      </c>
      <c r="O122">
        <v>7</v>
      </c>
      <c r="P122" s="8">
        <v>1</v>
      </c>
    </row>
    <row r="123" spans="1:16" x14ac:dyDescent="0.25">
      <c r="A123" s="8">
        <v>449</v>
      </c>
      <c r="B123" t="s">
        <v>334</v>
      </c>
      <c r="C123">
        <v>7</v>
      </c>
      <c r="F123">
        <v>29</v>
      </c>
      <c r="O123">
        <v>7</v>
      </c>
      <c r="P123" s="8">
        <v>1</v>
      </c>
    </row>
    <row r="124" spans="1:16" x14ac:dyDescent="0.25">
      <c r="A124" s="8">
        <v>450</v>
      </c>
      <c r="B124" t="s">
        <v>335</v>
      </c>
      <c r="C124">
        <v>7</v>
      </c>
      <c r="F124">
        <v>29</v>
      </c>
      <c r="O124">
        <v>7</v>
      </c>
      <c r="P124" s="8">
        <v>1</v>
      </c>
    </row>
    <row r="125" spans="1:16" x14ac:dyDescent="0.25">
      <c r="A125" s="8">
        <v>451</v>
      </c>
      <c r="B125" t="s">
        <v>336</v>
      </c>
      <c r="C125">
        <v>7</v>
      </c>
      <c r="E125">
        <v>45</v>
      </c>
      <c r="O125">
        <v>7</v>
      </c>
      <c r="P125" s="8">
        <v>1</v>
      </c>
    </row>
    <row r="126" spans="1:16" x14ac:dyDescent="0.25">
      <c r="A126" s="8">
        <v>452</v>
      </c>
      <c r="B126" t="s">
        <v>337</v>
      </c>
      <c r="C126">
        <v>7</v>
      </c>
      <c r="F126">
        <v>29</v>
      </c>
      <c r="O126">
        <v>7</v>
      </c>
      <c r="P126" s="8">
        <v>1</v>
      </c>
    </row>
    <row r="127" spans="1:16" x14ac:dyDescent="0.25">
      <c r="A127" s="8">
        <v>453</v>
      </c>
      <c r="B127" t="s">
        <v>276</v>
      </c>
      <c r="C127">
        <v>7</v>
      </c>
      <c r="D127">
        <v>45</v>
      </c>
      <c r="O127">
        <v>7</v>
      </c>
      <c r="P127" s="8">
        <v>1</v>
      </c>
    </row>
    <row r="128" spans="1:16" x14ac:dyDescent="0.25">
      <c r="A128" s="8">
        <v>454</v>
      </c>
      <c r="B128" t="s">
        <v>277</v>
      </c>
      <c r="C128">
        <v>7</v>
      </c>
      <c r="D128">
        <v>45</v>
      </c>
      <c r="O128">
        <v>7</v>
      </c>
      <c r="P128" s="8">
        <v>1</v>
      </c>
    </row>
    <row r="129" spans="1:16" x14ac:dyDescent="0.25">
      <c r="A129" s="8">
        <v>455</v>
      </c>
      <c r="B129" t="s">
        <v>278</v>
      </c>
      <c r="C129">
        <v>7</v>
      </c>
      <c r="D129">
        <v>45</v>
      </c>
      <c r="O129">
        <v>7</v>
      </c>
      <c r="P129" s="8">
        <v>1</v>
      </c>
    </row>
    <row r="130" spans="1:16" x14ac:dyDescent="0.25">
      <c r="A130" s="8">
        <v>456</v>
      </c>
      <c r="B130" t="s">
        <v>279</v>
      </c>
      <c r="C130">
        <v>7</v>
      </c>
      <c r="D130">
        <v>45</v>
      </c>
      <c r="O130">
        <v>7</v>
      </c>
      <c r="P130" s="8">
        <v>1</v>
      </c>
    </row>
    <row r="131" spans="1:16" x14ac:dyDescent="0.25">
      <c r="A131" s="8">
        <v>457</v>
      </c>
      <c r="B131" t="s">
        <v>280</v>
      </c>
      <c r="C131">
        <v>7</v>
      </c>
      <c r="E131">
        <v>52</v>
      </c>
      <c r="O131">
        <v>7</v>
      </c>
      <c r="P131" s="8">
        <v>1</v>
      </c>
    </row>
    <row r="132" spans="1:16" x14ac:dyDescent="0.25">
      <c r="A132" s="8">
        <v>458</v>
      </c>
      <c r="B132" t="s">
        <v>281</v>
      </c>
      <c r="C132">
        <v>7</v>
      </c>
      <c r="D132">
        <v>45</v>
      </c>
      <c r="O132">
        <v>7</v>
      </c>
      <c r="P132" s="8">
        <v>1</v>
      </c>
    </row>
    <row r="133" spans="1:16" x14ac:dyDescent="0.25">
      <c r="A133" s="8">
        <v>459</v>
      </c>
      <c r="B133" t="s">
        <v>282</v>
      </c>
      <c r="C133">
        <v>7</v>
      </c>
      <c r="D133">
        <v>45</v>
      </c>
      <c r="O133">
        <v>7</v>
      </c>
      <c r="P133" s="8">
        <v>1</v>
      </c>
    </row>
    <row r="134" spans="1:16" x14ac:dyDescent="0.25">
      <c r="A134" s="8">
        <v>460</v>
      </c>
      <c r="B134" t="s">
        <v>284</v>
      </c>
      <c r="C134">
        <v>7</v>
      </c>
      <c r="D134">
        <v>45</v>
      </c>
      <c r="O134">
        <v>7</v>
      </c>
      <c r="P134" s="8">
        <v>1</v>
      </c>
    </row>
    <row r="135" spans="1:16" x14ac:dyDescent="0.25">
      <c r="A135" s="8">
        <v>461</v>
      </c>
      <c r="B135" t="s">
        <v>285</v>
      </c>
      <c r="C135">
        <v>7</v>
      </c>
      <c r="D135">
        <v>45</v>
      </c>
      <c r="O135">
        <v>7</v>
      </c>
      <c r="P135" s="8">
        <v>1</v>
      </c>
    </row>
    <row r="136" spans="1:16" x14ac:dyDescent="0.25">
      <c r="A136" s="8">
        <v>462</v>
      </c>
      <c r="B136" t="s">
        <v>283</v>
      </c>
      <c r="C136">
        <v>7</v>
      </c>
      <c r="D136">
        <v>45</v>
      </c>
      <c r="O136">
        <v>7</v>
      </c>
      <c r="P136" s="8">
        <v>1</v>
      </c>
    </row>
    <row r="137" spans="1:16" x14ac:dyDescent="0.25">
      <c r="A137" s="8">
        <v>463</v>
      </c>
      <c r="B137" t="s">
        <v>286</v>
      </c>
      <c r="C137">
        <v>7</v>
      </c>
      <c r="E137">
        <v>52</v>
      </c>
      <c r="O137">
        <v>7</v>
      </c>
      <c r="P137" s="8">
        <v>1</v>
      </c>
    </row>
    <row r="138" spans="1:16" x14ac:dyDescent="0.25">
      <c r="A138" s="8">
        <v>464</v>
      </c>
      <c r="B138" t="s">
        <v>338</v>
      </c>
      <c r="C138">
        <v>7</v>
      </c>
      <c r="D138">
        <v>45</v>
      </c>
      <c r="O138">
        <v>7</v>
      </c>
      <c r="P138" s="8">
        <v>1</v>
      </c>
    </row>
    <row r="139" spans="1:16" x14ac:dyDescent="0.25">
      <c r="A139" s="8">
        <v>465</v>
      </c>
      <c r="B139" t="s">
        <v>339</v>
      </c>
      <c r="C139">
        <v>7</v>
      </c>
      <c r="D139">
        <v>45</v>
      </c>
      <c r="O139">
        <v>7</v>
      </c>
      <c r="P139" s="8">
        <v>1</v>
      </c>
    </row>
    <row r="140" spans="1:16" x14ac:dyDescent="0.25">
      <c r="A140" s="8">
        <v>466</v>
      </c>
      <c r="B140" t="s">
        <v>340</v>
      </c>
      <c r="C140">
        <v>7</v>
      </c>
      <c r="F140">
        <v>34</v>
      </c>
      <c r="O140">
        <v>7</v>
      </c>
      <c r="P140" s="8">
        <v>1</v>
      </c>
    </row>
    <row r="141" spans="1:16" x14ac:dyDescent="0.25">
      <c r="A141" s="8">
        <v>467</v>
      </c>
      <c r="B141" t="s">
        <v>341</v>
      </c>
      <c r="C141">
        <v>7</v>
      </c>
      <c r="F141">
        <v>34</v>
      </c>
      <c r="O141">
        <v>7</v>
      </c>
      <c r="P141" s="8">
        <v>1</v>
      </c>
    </row>
    <row r="142" spans="1:16" x14ac:dyDescent="0.25">
      <c r="A142" s="8">
        <v>468</v>
      </c>
      <c r="B142" t="s">
        <v>342</v>
      </c>
      <c r="C142">
        <v>7</v>
      </c>
      <c r="F142">
        <v>34</v>
      </c>
      <c r="O142">
        <v>7</v>
      </c>
      <c r="P142" s="8">
        <v>1</v>
      </c>
    </row>
    <row r="143" spans="1:16" x14ac:dyDescent="0.25">
      <c r="A143" s="8">
        <v>469</v>
      </c>
      <c r="B143" t="s">
        <v>343</v>
      </c>
      <c r="C143">
        <v>7</v>
      </c>
      <c r="F143">
        <v>34</v>
      </c>
      <c r="O143">
        <v>7</v>
      </c>
      <c r="P143" s="8">
        <v>1</v>
      </c>
    </row>
    <row r="144" spans="1:16" x14ac:dyDescent="0.25">
      <c r="A144" s="8">
        <v>470</v>
      </c>
      <c r="B144" t="s">
        <v>344</v>
      </c>
      <c r="C144">
        <v>7</v>
      </c>
      <c r="D144">
        <v>45</v>
      </c>
      <c r="O144">
        <v>7</v>
      </c>
      <c r="P144" s="8">
        <v>1</v>
      </c>
    </row>
    <row r="145" spans="1:16" x14ac:dyDescent="0.25">
      <c r="A145" s="8">
        <v>471</v>
      </c>
      <c r="B145" t="s">
        <v>345</v>
      </c>
      <c r="C145">
        <v>7</v>
      </c>
      <c r="D145">
        <v>45</v>
      </c>
      <c r="O145">
        <v>7</v>
      </c>
      <c r="P145" s="8">
        <v>1</v>
      </c>
    </row>
    <row r="146" spans="1:16" x14ac:dyDescent="0.25">
      <c r="A146" s="8">
        <v>472</v>
      </c>
      <c r="B146" t="s">
        <v>346</v>
      </c>
      <c r="C146">
        <v>7</v>
      </c>
      <c r="D146">
        <v>45</v>
      </c>
      <c r="O146">
        <v>7</v>
      </c>
      <c r="P146" s="8">
        <v>1</v>
      </c>
    </row>
    <row r="147" spans="1:16" x14ac:dyDescent="0.25">
      <c r="A147" s="8">
        <v>473</v>
      </c>
      <c r="B147" t="s">
        <v>347</v>
      </c>
      <c r="C147">
        <v>7</v>
      </c>
      <c r="D147">
        <v>45</v>
      </c>
      <c r="O147">
        <v>7</v>
      </c>
      <c r="P147" s="8">
        <v>1</v>
      </c>
    </row>
    <row r="148" spans="1:16" x14ac:dyDescent="0.25">
      <c r="A148" s="8">
        <v>474</v>
      </c>
      <c r="B148" t="s">
        <v>348</v>
      </c>
      <c r="C148">
        <v>7</v>
      </c>
      <c r="D148">
        <v>45</v>
      </c>
      <c r="O148">
        <v>7</v>
      </c>
      <c r="P148" s="8">
        <v>1</v>
      </c>
    </row>
    <row r="149" spans="1:16" x14ac:dyDescent="0.25">
      <c r="A149" s="8">
        <v>475</v>
      </c>
      <c r="B149" t="s">
        <v>349</v>
      </c>
      <c r="C149">
        <v>7</v>
      </c>
      <c r="D149">
        <v>45</v>
      </c>
      <c r="O149">
        <v>7</v>
      </c>
      <c r="P149" s="8">
        <v>1</v>
      </c>
    </row>
    <row r="150" spans="1:16" x14ac:dyDescent="0.25">
      <c r="A150" s="8">
        <v>476</v>
      </c>
      <c r="B150" t="s">
        <v>350</v>
      </c>
      <c r="C150">
        <v>7</v>
      </c>
      <c r="D150">
        <v>45</v>
      </c>
      <c r="O150">
        <v>7</v>
      </c>
      <c r="P150" s="8">
        <v>1</v>
      </c>
    </row>
    <row r="151" spans="1:16" x14ac:dyDescent="0.25">
      <c r="A151" s="8">
        <v>477</v>
      </c>
      <c r="B151" t="s">
        <v>351</v>
      </c>
      <c r="C151">
        <v>7</v>
      </c>
      <c r="D151">
        <v>45</v>
      </c>
      <c r="O151">
        <v>7</v>
      </c>
      <c r="P151" s="8">
        <v>1</v>
      </c>
    </row>
    <row r="152" spans="1:16" x14ac:dyDescent="0.25">
      <c r="A152" s="8">
        <v>478</v>
      </c>
      <c r="B152" t="s">
        <v>352</v>
      </c>
      <c r="C152">
        <v>7</v>
      </c>
      <c r="D152">
        <v>45</v>
      </c>
      <c r="O152">
        <v>7</v>
      </c>
      <c r="P152" s="8">
        <v>1</v>
      </c>
    </row>
    <row r="153" spans="1:16" x14ac:dyDescent="0.25">
      <c r="A153" s="8">
        <v>479</v>
      </c>
      <c r="B153" t="s">
        <v>353</v>
      </c>
      <c r="C153">
        <v>7</v>
      </c>
      <c r="D153">
        <v>45</v>
      </c>
      <c r="O153">
        <v>7</v>
      </c>
      <c r="P153" s="8">
        <v>1</v>
      </c>
    </row>
    <row r="154" spans="1:16" x14ac:dyDescent="0.25">
      <c r="A154" s="8">
        <v>480</v>
      </c>
      <c r="B154" t="s">
        <v>354</v>
      </c>
      <c r="C154">
        <v>7</v>
      </c>
      <c r="D154">
        <v>45</v>
      </c>
      <c r="O154">
        <v>7</v>
      </c>
      <c r="P154" s="8">
        <v>1</v>
      </c>
    </row>
    <row r="155" spans="1:16" x14ac:dyDescent="0.25">
      <c r="A155" s="8">
        <v>481</v>
      </c>
      <c r="B155" t="s">
        <v>355</v>
      </c>
      <c r="C155">
        <v>7</v>
      </c>
      <c r="D155">
        <v>45</v>
      </c>
      <c r="O155">
        <v>7</v>
      </c>
      <c r="P155" s="8">
        <v>1</v>
      </c>
    </row>
    <row r="156" spans="1:16" x14ac:dyDescent="0.25">
      <c r="A156" s="8">
        <v>482</v>
      </c>
      <c r="B156" t="s">
        <v>356</v>
      </c>
      <c r="C156">
        <v>7</v>
      </c>
      <c r="D156">
        <v>45</v>
      </c>
      <c r="O156">
        <v>7</v>
      </c>
      <c r="P156" s="8">
        <v>1</v>
      </c>
    </row>
    <row r="157" spans="1:16" x14ac:dyDescent="0.25">
      <c r="A157" s="8">
        <v>483</v>
      </c>
      <c r="B157" t="s">
        <v>357</v>
      </c>
      <c r="C157">
        <v>7</v>
      </c>
      <c r="D157">
        <v>45</v>
      </c>
      <c r="O157">
        <v>7</v>
      </c>
      <c r="P157" s="8">
        <v>1</v>
      </c>
    </row>
    <row r="158" spans="1:16" x14ac:dyDescent="0.25">
      <c r="A158" s="8">
        <v>484</v>
      </c>
      <c r="B158" t="s">
        <v>358</v>
      </c>
      <c r="C158">
        <v>7</v>
      </c>
      <c r="D158">
        <v>45</v>
      </c>
      <c r="O158">
        <v>7</v>
      </c>
      <c r="P158" s="8">
        <v>1</v>
      </c>
    </row>
    <row r="159" spans="1:16" x14ac:dyDescent="0.25">
      <c r="A159" s="8">
        <v>485</v>
      </c>
      <c r="B159" t="s">
        <v>359</v>
      </c>
      <c r="C159">
        <v>7</v>
      </c>
      <c r="D159">
        <v>45</v>
      </c>
      <c r="O159">
        <v>7</v>
      </c>
      <c r="P159" s="8">
        <v>1</v>
      </c>
    </row>
    <row r="160" spans="1:16" x14ac:dyDescent="0.25">
      <c r="A160" s="8">
        <v>486</v>
      </c>
      <c r="B160" t="s">
        <v>360</v>
      </c>
      <c r="C160">
        <v>7</v>
      </c>
      <c r="D160">
        <v>45</v>
      </c>
      <c r="O160">
        <v>7</v>
      </c>
      <c r="P160" s="8">
        <v>1</v>
      </c>
    </row>
    <row r="161" spans="1:16" x14ac:dyDescent="0.25">
      <c r="A161" s="8">
        <v>487</v>
      </c>
      <c r="B161" t="s">
        <v>361</v>
      </c>
      <c r="C161">
        <v>7</v>
      </c>
      <c r="D161">
        <v>45</v>
      </c>
      <c r="O161">
        <v>7</v>
      </c>
      <c r="P161" s="8">
        <v>1</v>
      </c>
    </row>
    <row r="162" spans="1:16" x14ac:dyDescent="0.25">
      <c r="A162" s="8">
        <v>488</v>
      </c>
      <c r="B162" t="s">
        <v>362</v>
      </c>
      <c r="C162">
        <v>7</v>
      </c>
      <c r="D162">
        <v>45</v>
      </c>
      <c r="O162">
        <v>7</v>
      </c>
      <c r="P162" s="8">
        <v>1</v>
      </c>
    </row>
    <row r="163" spans="1:16" x14ac:dyDescent="0.25">
      <c r="A163" s="8">
        <v>489</v>
      </c>
      <c r="B163" t="s">
        <v>363</v>
      </c>
      <c r="C163">
        <v>7</v>
      </c>
      <c r="D163">
        <v>45</v>
      </c>
      <c r="O163">
        <v>7</v>
      </c>
      <c r="P163" s="8">
        <v>1</v>
      </c>
    </row>
    <row r="164" spans="1:16" x14ac:dyDescent="0.25">
      <c r="A164" s="8">
        <v>490</v>
      </c>
      <c r="B164" t="s">
        <v>364</v>
      </c>
      <c r="C164">
        <v>7</v>
      </c>
      <c r="D164">
        <v>45</v>
      </c>
      <c r="O164">
        <v>7</v>
      </c>
      <c r="P164" s="8">
        <v>1</v>
      </c>
    </row>
    <row r="165" spans="1:16" x14ac:dyDescent="0.25">
      <c r="A165" s="8">
        <v>491</v>
      </c>
      <c r="B165" t="s">
        <v>365</v>
      </c>
      <c r="C165">
        <v>7</v>
      </c>
      <c r="D165">
        <v>45</v>
      </c>
      <c r="O165">
        <v>7</v>
      </c>
      <c r="P165" s="8">
        <v>1</v>
      </c>
    </row>
    <row r="166" spans="1:16" x14ac:dyDescent="0.25">
      <c r="A166" s="8">
        <v>492</v>
      </c>
      <c r="B166" t="s">
        <v>366</v>
      </c>
      <c r="C166">
        <v>7</v>
      </c>
      <c r="D166">
        <v>45</v>
      </c>
      <c r="O166">
        <v>7</v>
      </c>
      <c r="P166" s="8">
        <v>1</v>
      </c>
    </row>
    <row r="167" spans="1:16" x14ac:dyDescent="0.25">
      <c r="A167" s="8">
        <v>493</v>
      </c>
      <c r="B167" t="s">
        <v>367</v>
      </c>
      <c r="C167">
        <v>7</v>
      </c>
      <c r="D167">
        <v>45</v>
      </c>
      <c r="O167">
        <v>7</v>
      </c>
      <c r="P167" s="8">
        <v>1</v>
      </c>
    </row>
    <row r="168" spans="1:16" x14ac:dyDescent="0.25">
      <c r="A168" s="8">
        <v>494</v>
      </c>
      <c r="B168" t="s">
        <v>368</v>
      </c>
      <c r="C168">
        <v>7</v>
      </c>
      <c r="D168">
        <v>45</v>
      </c>
      <c r="O168">
        <v>7</v>
      </c>
      <c r="P168" s="8">
        <v>1</v>
      </c>
    </row>
    <row r="169" spans="1:16" x14ac:dyDescent="0.25">
      <c r="A169" s="8">
        <v>495</v>
      </c>
      <c r="B169" t="s">
        <v>369</v>
      </c>
      <c r="C169">
        <v>7</v>
      </c>
      <c r="D169">
        <v>45</v>
      </c>
      <c r="O169">
        <v>7</v>
      </c>
      <c r="P169" s="8">
        <v>1</v>
      </c>
    </row>
    <row r="170" spans="1:16" x14ac:dyDescent="0.25">
      <c r="A170" s="8">
        <v>496</v>
      </c>
      <c r="B170" t="s">
        <v>370</v>
      </c>
      <c r="C170">
        <v>7</v>
      </c>
      <c r="D170">
        <v>45</v>
      </c>
      <c r="O170">
        <v>7</v>
      </c>
      <c r="P170" s="8">
        <v>1</v>
      </c>
    </row>
    <row r="171" spans="1:16" x14ac:dyDescent="0.25">
      <c r="A171" s="8">
        <v>497</v>
      </c>
      <c r="B171" t="s">
        <v>371</v>
      </c>
      <c r="C171">
        <v>7</v>
      </c>
      <c r="D171">
        <v>45</v>
      </c>
      <c r="O171">
        <v>7</v>
      </c>
      <c r="P171" s="8">
        <v>1</v>
      </c>
    </row>
    <row r="172" spans="1:16" x14ac:dyDescent="0.25">
      <c r="A172" s="8">
        <v>498</v>
      </c>
      <c r="B172" t="s">
        <v>372</v>
      </c>
      <c r="C172">
        <v>7</v>
      </c>
      <c r="D172">
        <v>45</v>
      </c>
      <c r="O172">
        <v>7</v>
      </c>
      <c r="P172" s="8">
        <v>1</v>
      </c>
    </row>
    <row r="173" spans="1:16" x14ac:dyDescent="0.25">
      <c r="A173" s="8">
        <v>499</v>
      </c>
      <c r="B173" t="s">
        <v>374</v>
      </c>
      <c r="C173">
        <v>7</v>
      </c>
      <c r="D173">
        <v>45</v>
      </c>
      <c r="O173">
        <v>7</v>
      </c>
      <c r="P173" s="8">
        <v>1</v>
      </c>
    </row>
    <row r="174" spans="1:16" x14ac:dyDescent="0.25">
      <c r="A174" s="8">
        <v>500</v>
      </c>
      <c r="B174" t="s">
        <v>375</v>
      </c>
      <c r="C174">
        <v>7</v>
      </c>
      <c r="D174">
        <v>45</v>
      </c>
      <c r="O174">
        <v>7</v>
      </c>
      <c r="P174" s="8">
        <v>1</v>
      </c>
    </row>
    <row r="175" spans="1:16" x14ac:dyDescent="0.25">
      <c r="A175" s="8">
        <v>501</v>
      </c>
      <c r="B175" t="s">
        <v>376</v>
      </c>
      <c r="C175">
        <v>7</v>
      </c>
      <c r="D175">
        <v>45</v>
      </c>
      <c r="O175">
        <v>7</v>
      </c>
      <c r="P175" s="8">
        <v>1</v>
      </c>
    </row>
    <row r="176" spans="1:16" x14ac:dyDescent="0.25">
      <c r="A176" s="8">
        <v>502</v>
      </c>
      <c r="B176" t="s">
        <v>377</v>
      </c>
      <c r="C176">
        <v>1</v>
      </c>
      <c r="D176">
        <v>17</v>
      </c>
      <c r="O176">
        <v>2</v>
      </c>
      <c r="P176" s="8"/>
    </row>
    <row r="177" spans="1:16" x14ac:dyDescent="0.25">
      <c r="A177" s="8">
        <v>503</v>
      </c>
      <c r="B177" t="s">
        <v>378</v>
      </c>
      <c r="C177">
        <v>1</v>
      </c>
      <c r="D177">
        <v>17</v>
      </c>
      <c r="O177">
        <v>2</v>
      </c>
      <c r="P177" s="8"/>
    </row>
    <row r="178" spans="1:16" x14ac:dyDescent="0.25">
      <c r="A178" s="8">
        <v>504</v>
      </c>
      <c r="B178" t="s">
        <v>379</v>
      </c>
      <c r="C178">
        <v>1</v>
      </c>
      <c r="D178">
        <v>17</v>
      </c>
      <c r="O178">
        <v>2</v>
      </c>
      <c r="P178" s="8"/>
    </row>
    <row r="179" spans="1:16" x14ac:dyDescent="0.25">
      <c r="A179" s="8">
        <v>505</v>
      </c>
      <c r="B179" t="s">
        <v>380</v>
      </c>
      <c r="C179">
        <v>1</v>
      </c>
      <c r="D179">
        <v>17</v>
      </c>
      <c r="O179">
        <v>2</v>
      </c>
      <c r="P179" s="8"/>
    </row>
    <row r="180" spans="1:16" x14ac:dyDescent="0.25">
      <c r="A180" s="8">
        <v>506</v>
      </c>
      <c r="B180" t="s">
        <v>373</v>
      </c>
      <c r="C180">
        <v>7</v>
      </c>
      <c r="G180">
        <v>86</v>
      </c>
      <c r="O180">
        <v>7</v>
      </c>
      <c r="P180" s="8">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EED4C-B60D-4D5A-BFB7-C10EDD909F33}">
  <sheetPr>
    <tabColor theme="9" tint="0.79998168889431442"/>
  </sheetPr>
  <dimension ref="A1:I38"/>
  <sheetViews>
    <sheetView tabSelected="1" topLeftCell="A11" workbookViewId="0">
      <selection activeCell="I28" sqref="I28"/>
    </sheetView>
  </sheetViews>
  <sheetFormatPr baseColWidth="10" defaultColWidth="9.140625" defaultRowHeight="15" x14ac:dyDescent="0.25"/>
  <cols>
    <col min="1" max="1" width="48.140625" customWidth="1"/>
    <col min="2" max="2" width="66.5703125" style="2" customWidth="1"/>
    <col min="3" max="3" width="15.5703125" style="2" customWidth="1"/>
    <col min="4" max="4" width="32.85546875" bestFit="1" customWidth="1"/>
    <col min="5" max="5" width="11.85546875" style="4" bestFit="1" customWidth="1"/>
    <col min="6" max="6" width="8.28515625" style="6" bestFit="1" customWidth="1"/>
    <col min="7" max="7" width="12.7109375" style="1" bestFit="1" customWidth="1"/>
    <col min="8" max="8" width="124.7109375" style="2" customWidth="1"/>
    <col min="9" max="9" width="31.85546875" bestFit="1" customWidth="1"/>
  </cols>
  <sheetData>
    <row r="1" spans="1:9" x14ac:dyDescent="0.25">
      <c r="A1" s="2" t="s">
        <v>104</v>
      </c>
      <c r="B1" s="9" t="s">
        <v>93</v>
      </c>
      <c r="C1" s="9" t="s">
        <v>176</v>
      </c>
      <c r="D1" t="s">
        <v>92</v>
      </c>
      <c r="E1" s="10" t="s">
        <v>4</v>
      </c>
      <c r="F1" s="6" t="s">
        <v>0</v>
      </c>
      <c r="G1" s="10" t="s">
        <v>3</v>
      </c>
      <c r="H1" s="9" t="s">
        <v>136</v>
      </c>
      <c r="I1" t="s">
        <v>192</v>
      </c>
    </row>
    <row r="2" spans="1:9" ht="45" x14ac:dyDescent="0.25">
      <c r="A2" s="2" t="s">
        <v>23</v>
      </c>
      <c r="B2" s="2" t="s">
        <v>23</v>
      </c>
      <c r="D2" t="s">
        <v>24</v>
      </c>
      <c r="F2" s="6" t="s">
        <v>2</v>
      </c>
      <c r="G2" s="4">
        <f>IF(Prestations[[#This Row],[Taxes]]="TTC",Prestations[[#This Row],[Cout]],Prestations[[#This Row],[Cout]]*1.2)</f>
        <v>0</v>
      </c>
    </row>
    <row r="3" spans="1:9" ht="30" x14ac:dyDescent="0.25">
      <c r="A3" s="2" t="s">
        <v>9</v>
      </c>
      <c r="B3" s="2" t="s">
        <v>113</v>
      </c>
      <c r="D3" t="s">
        <v>10</v>
      </c>
      <c r="E3" s="4">
        <v>3000</v>
      </c>
      <c r="F3" s="6" t="s">
        <v>2</v>
      </c>
      <c r="G3" s="4">
        <f>IF(Prestations[[#This Row],[Taxes]]="TTC",Prestations[[#This Row],[Cout]],Prestations[[#This Row],[Cout]]*1.2)</f>
        <v>3000</v>
      </c>
    </row>
    <row r="4" spans="1:9" ht="30" x14ac:dyDescent="0.25">
      <c r="A4" s="2" t="s">
        <v>9</v>
      </c>
      <c r="B4" s="2" t="s">
        <v>112</v>
      </c>
      <c r="D4" t="s">
        <v>11</v>
      </c>
      <c r="E4" s="4">
        <v>2460</v>
      </c>
      <c r="F4" s="6" t="s">
        <v>2</v>
      </c>
      <c r="G4" s="4">
        <f>IF(Prestations[[#This Row],[Taxes]]="TTC",Prestations[[#This Row],[Cout]],Prestations[[#This Row],[Cout]]*1.2)</f>
        <v>2460</v>
      </c>
    </row>
    <row r="5" spans="1:9" ht="30" x14ac:dyDescent="0.25">
      <c r="A5" s="2" t="s">
        <v>28</v>
      </c>
      <c r="B5" s="2" t="s">
        <v>28</v>
      </c>
      <c r="C5" s="2" t="s">
        <v>67</v>
      </c>
      <c r="D5" t="s">
        <v>27</v>
      </c>
      <c r="E5" s="4">
        <v>1051.2</v>
      </c>
      <c r="F5" s="6" t="s">
        <v>2</v>
      </c>
      <c r="G5" s="4">
        <f>IF(Prestations[[#This Row],[Taxes]]="TTC",Prestations[[#This Row],[Cout]],Prestations[[#This Row],[Cout]]*1.2)</f>
        <v>1051.2</v>
      </c>
      <c r="H5" s="2" t="s">
        <v>28</v>
      </c>
    </row>
    <row r="6" spans="1:9" x14ac:dyDescent="0.25">
      <c r="A6" s="2" t="s">
        <v>8</v>
      </c>
      <c r="B6" s="2" t="s">
        <v>116</v>
      </c>
      <c r="C6" t="s">
        <v>66</v>
      </c>
      <c r="D6" t="s">
        <v>90</v>
      </c>
      <c r="E6" s="4">
        <v>748.15</v>
      </c>
      <c r="F6" s="6" t="s">
        <v>2</v>
      </c>
      <c r="G6" s="4">
        <f>IF(Prestations[[#This Row],[Taxes]]="TTC",Prestations[[#This Row],[Cout]],Prestations[[#This Row],[Cout]]*1.2)</f>
        <v>748.15</v>
      </c>
      <c r="H6" s="2" t="s">
        <v>91</v>
      </c>
      <c r="I6" t="s">
        <v>188</v>
      </c>
    </row>
    <row r="7" spans="1:9" x14ac:dyDescent="0.25">
      <c r="A7" s="2" t="s">
        <v>5</v>
      </c>
      <c r="B7" s="2" t="s">
        <v>115</v>
      </c>
      <c r="C7" t="s">
        <v>65</v>
      </c>
      <c r="D7" t="s">
        <v>6</v>
      </c>
      <c r="E7" s="4">
        <v>6096.65</v>
      </c>
      <c r="F7" s="6" t="s">
        <v>2</v>
      </c>
      <c r="G7" s="4">
        <f>IF(Prestations[[#This Row],[Taxes]]="TTC",Prestations[[#This Row],[Cout]],Prestations[[#This Row],[Cout]]*1.2)</f>
        <v>6096.65</v>
      </c>
      <c r="H7" s="2" t="s">
        <v>100</v>
      </c>
      <c r="I7" t="s">
        <v>188</v>
      </c>
    </row>
    <row r="8" spans="1:9" x14ac:dyDescent="0.25">
      <c r="A8" s="2" t="s">
        <v>5</v>
      </c>
      <c r="B8" s="2" t="s">
        <v>114</v>
      </c>
      <c r="C8" t="s">
        <v>65</v>
      </c>
      <c r="D8" t="s">
        <v>7</v>
      </c>
      <c r="E8" s="4">
        <v>7502.9</v>
      </c>
      <c r="F8" s="6" t="s">
        <v>2</v>
      </c>
      <c r="G8" s="4">
        <f>IF(Prestations[[#This Row],[Taxes]]="TTC",Prestations[[#This Row],[Cout]],Prestations[[#This Row],[Cout]]*1.2)</f>
        <v>7502.9</v>
      </c>
      <c r="H8" s="2" t="s">
        <v>101</v>
      </c>
    </row>
    <row r="9" spans="1:9" ht="30" x14ac:dyDescent="0.25">
      <c r="A9" s="2" t="s">
        <v>20</v>
      </c>
      <c r="B9" s="2" t="s">
        <v>126</v>
      </c>
      <c r="C9" t="s">
        <v>72</v>
      </c>
      <c r="D9" t="s">
        <v>80</v>
      </c>
      <c r="E9" s="4">
        <f>16750</f>
        <v>16750</v>
      </c>
      <c r="F9" s="6" t="s">
        <v>1</v>
      </c>
      <c r="G9" s="4">
        <f>IF(Prestations[[#This Row],[Taxes]]="TTC",Prestations[[#This Row],[Cout]],Prestations[[#This Row],[Cout]]*1.2)</f>
        <v>20100</v>
      </c>
      <c r="H9" s="2" t="s">
        <v>185</v>
      </c>
    </row>
    <row r="10" spans="1:9" ht="30" x14ac:dyDescent="0.25">
      <c r="A10" s="2" t="s">
        <v>20</v>
      </c>
      <c r="B10" s="2" t="s">
        <v>187</v>
      </c>
      <c r="C10" t="s">
        <v>72</v>
      </c>
      <c r="D10" t="s">
        <v>80</v>
      </c>
      <c r="E10" s="4">
        <f>887</f>
        <v>887</v>
      </c>
      <c r="F10" s="6" t="s">
        <v>1</v>
      </c>
      <c r="G10" s="4">
        <f>IF(Prestations[[#This Row],[Taxes]]="TTC",Prestations[[#This Row],[Cout]],Prestations[[#This Row],[Cout]]*1.2)</f>
        <v>1064.3999999999999</v>
      </c>
      <c r="H10" s="2" t="s">
        <v>135</v>
      </c>
    </row>
    <row r="11" spans="1:9" ht="30" x14ac:dyDescent="0.25">
      <c r="A11" s="2" t="s">
        <v>20</v>
      </c>
      <c r="B11" s="2" t="s">
        <v>128</v>
      </c>
      <c r="C11" t="s">
        <v>72</v>
      </c>
      <c r="D11" t="s">
        <v>22</v>
      </c>
      <c r="F11" s="6" t="s">
        <v>2</v>
      </c>
      <c r="G11" s="4">
        <f>IF(Prestations[[#This Row],[Taxes]]="TTC",Prestations[[#This Row],[Cout]],Prestations[[#This Row],[Cout]]*1.2)</f>
        <v>0</v>
      </c>
      <c r="H11" t="s">
        <v>132</v>
      </c>
    </row>
    <row r="12" spans="1:9" ht="30" x14ac:dyDescent="0.25">
      <c r="A12" s="2" t="s">
        <v>20</v>
      </c>
      <c r="B12" s="2" t="s">
        <v>127</v>
      </c>
      <c r="C12" t="s">
        <v>72</v>
      </c>
      <c r="D12" t="s">
        <v>21</v>
      </c>
      <c r="F12" s="6" t="s">
        <v>2</v>
      </c>
      <c r="G12" s="4">
        <f>IF(Prestations[[#This Row],[Taxes]]="TTC",Prestations[[#This Row],[Cout]],Prestations[[#This Row],[Cout]]*1.2)</f>
        <v>0</v>
      </c>
      <c r="H12" t="s">
        <v>132</v>
      </c>
    </row>
    <row r="13" spans="1:9" x14ac:dyDescent="0.25">
      <c r="A13" s="2" t="s">
        <v>12</v>
      </c>
      <c r="B13" s="2" t="s">
        <v>119</v>
      </c>
      <c r="C13" t="s">
        <v>55</v>
      </c>
      <c r="D13" t="s">
        <v>105</v>
      </c>
      <c r="E13" s="4">
        <f>1140*12</f>
        <v>13680</v>
      </c>
      <c r="F13" s="6" t="s">
        <v>2</v>
      </c>
      <c r="G13" s="4">
        <f>IF(Prestations[[#This Row],[Taxes]]="TTC",Prestations[[#This Row],[Cout]],Prestations[[#This Row],[Cout]]*1.2)</f>
        <v>13680</v>
      </c>
      <c r="H13" s="2" t="s">
        <v>102</v>
      </c>
    </row>
    <row r="14" spans="1:9" x14ac:dyDescent="0.25">
      <c r="A14" s="2" t="s">
        <v>12</v>
      </c>
      <c r="B14" s="2" t="s">
        <v>117</v>
      </c>
      <c r="C14" t="s">
        <v>55</v>
      </c>
      <c r="D14" t="s">
        <v>108</v>
      </c>
      <c r="E14" s="4">
        <f>2836.8*12</f>
        <v>34041.600000000006</v>
      </c>
      <c r="F14" s="6" t="s">
        <v>2</v>
      </c>
      <c r="G14" s="4">
        <f>IF(Prestations[[#This Row],[Taxes]]="TTC",Prestations[[#This Row],[Cout]],Prestations[[#This Row],[Cout]]*1.2)</f>
        <v>34041.600000000006</v>
      </c>
      <c r="H14" s="2" t="s">
        <v>103</v>
      </c>
    </row>
    <row r="15" spans="1:9" x14ac:dyDescent="0.25">
      <c r="A15" s="2" t="s">
        <v>12</v>
      </c>
      <c r="B15" s="2" t="s">
        <v>118</v>
      </c>
      <c r="C15" t="s">
        <v>55</v>
      </c>
      <c r="D15" t="s">
        <v>105</v>
      </c>
      <c r="E15" s="4">
        <f>1518*12</f>
        <v>18216</v>
      </c>
      <c r="F15" s="6" t="s">
        <v>2</v>
      </c>
      <c r="G15" s="4">
        <f>IF(Prestations[[#This Row],[Taxes]]="TTC",Prestations[[#This Row],[Cout]],Prestations[[#This Row],[Cout]]*1.2)</f>
        <v>18216</v>
      </c>
      <c r="H15" s="2" t="s">
        <v>103</v>
      </c>
      <c r="I15" t="s">
        <v>188</v>
      </c>
    </row>
    <row r="16" spans="1:9" ht="30" x14ac:dyDescent="0.25">
      <c r="A16" s="2" t="s">
        <v>18</v>
      </c>
      <c r="B16" s="2" t="s">
        <v>123</v>
      </c>
      <c r="C16" t="s">
        <v>73</v>
      </c>
      <c r="D16" t="s">
        <v>109</v>
      </c>
      <c r="E16" s="4">
        <v>516</v>
      </c>
      <c r="F16" s="6" t="s">
        <v>2</v>
      </c>
      <c r="G16" s="4">
        <f>IF(Prestations[[#This Row],[Taxes]]="TTC",Prestations[[#This Row],[Cout]],Prestations[[#This Row],[Cout]]*1.2)</f>
        <v>516</v>
      </c>
      <c r="H16" s="2" t="s">
        <v>129</v>
      </c>
    </row>
    <row r="17" spans="1:9" ht="30" x14ac:dyDescent="0.25">
      <c r="A17" s="2" t="s">
        <v>18</v>
      </c>
      <c r="B17" s="2" t="s">
        <v>124</v>
      </c>
      <c r="C17" t="s">
        <v>73</v>
      </c>
      <c r="D17" t="s">
        <v>109</v>
      </c>
      <c r="E17" s="4">
        <v>456</v>
      </c>
      <c r="F17" s="6" t="s">
        <v>2</v>
      </c>
      <c r="G17" s="4">
        <f>IF(Prestations[[#This Row],[Taxes]]="TTC",Prestations[[#This Row],[Cout]],Prestations[[#This Row],[Cout]]*1.2)</f>
        <v>456</v>
      </c>
      <c r="H17" s="2" t="s">
        <v>130</v>
      </c>
    </row>
    <row r="18" spans="1:9" ht="135" x14ac:dyDescent="0.25">
      <c r="A18" s="2" t="s">
        <v>18</v>
      </c>
      <c r="B18" s="2" t="s">
        <v>125</v>
      </c>
      <c r="C18" t="s">
        <v>73</v>
      </c>
      <c r="D18" t="s">
        <v>19</v>
      </c>
      <c r="E18" s="4">
        <v>660</v>
      </c>
      <c r="F18" s="6" t="s">
        <v>2</v>
      </c>
      <c r="G18" s="4">
        <f>IF(Prestations[[#This Row],[Taxes]]="TTC",Prestations[[#This Row],[Cout]],Prestations[[#This Row],[Cout]]*1.2)</f>
        <v>660</v>
      </c>
      <c r="H18" s="2" t="s">
        <v>131</v>
      </c>
    </row>
    <row r="19" spans="1:9" x14ac:dyDescent="0.25">
      <c r="A19" s="2" t="s">
        <v>18</v>
      </c>
      <c r="B19" s="2" t="s">
        <v>189</v>
      </c>
      <c r="C19" t="s">
        <v>73</v>
      </c>
      <c r="D19" t="s">
        <v>190</v>
      </c>
      <c r="E19" s="4">
        <v>434.5</v>
      </c>
      <c r="F19" s="6" t="s">
        <v>2</v>
      </c>
      <c r="G19" s="4">
        <f>IF(Prestations[[#This Row],[Taxes]]="TTC",Prestations[[#This Row],[Cout]],Prestations[[#This Row],[Cout]]*1.2)</f>
        <v>434.5</v>
      </c>
      <c r="H19" s="2" t="s">
        <v>191</v>
      </c>
      <c r="I19" s="2" t="s">
        <v>188</v>
      </c>
    </row>
    <row r="20" spans="1:9" x14ac:dyDescent="0.25">
      <c r="A20" s="2" t="s">
        <v>13</v>
      </c>
      <c r="B20" s="2" t="s">
        <v>137</v>
      </c>
      <c r="C20" t="s">
        <v>85</v>
      </c>
      <c r="D20" t="s">
        <v>79</v>
      </c>
      <c r="E20" s="4">
        <v>2400</v>
      </c>
      <c r="F20" s="6" t="s">
        <v>1</v>
      </c>
      <c r="G20" s="4">
        <f>IF(Prestations[[#This Row],[Taxes]]="TTC",Prestations[[#This Row],[Cout]],Prestations[[#This Row],[Cout]]*1.2)</f>
        <v>2880</v>
      </c>
      <c r="H20" s="2" t="s">
        <v>133</v>
      </c>
      <c r="I20" t="s">
        <v>188</v>
      </c>
    </row>
    <row r="21" spans="1:9" x14ac:dyDescent="0.25">
      <c r="A21" s="2" t="s">
        <v>13</v>
      </c>
      <c r="B21" s="2" t="s">
        <v>140</v>
      </c>
      <c r="C21" t="s">
        <v>86</v>
      </c>
      <c r="D21" t="s">
        <v>79</v>
      </c>
      <c r="E21" s="4">
        <v>2400</v>
      </c>
      <c r="F21" s="6" t="s">
        <v>1</v>
      </c>
      <c r="G21" s="4">
        <f>IF(Prestations[[#This Row],[Taxes]]="TTC",Prestations[[#This Row],[Cout]],Prestations[[#This Row],[Cout]]*1.2)</f>
        <v>2880</v>
      </c>
      <c r="H21" s="2" t="s">
        <v>133</v>
      </c>
      <c r="I21" t="s">
        <v>188</v>
      </c>
    </row>
    <row r="22" spans="1:9" x14ac:dyDescent="0.25">
      <c r="A22" s="2" t="s">
        <v>13</v>
      </c>
      <c r="B22" s="2" t="s">
        <v>142</v>
      </c>
      <c r="C22" t="s">
        <v>87</v>
      </c>
      <c r="D22" t="s">
        <v>79</v>
      </c>
      <c r="E22" s="4">
        <v>2450</v>
      </c>
      <c r="F22" s="6" t="s">
        <v>1</v>
      </c>
      <c r="G22" s="4">
        <f>IF(Prestations[[#This Row],[Taxes]]="TTC",Prestations[[#This Row],[Cout]],Prestations[[#This Row],[Cout]]*1.2)</f>
        <v>2940</v>
      </c>
      <c r="H22" s="2" t="s">
        <v>133</v>
      </c>
      <c r="I22" t="s">
        <v>188</v>
      </c>
    </row>
    <row r="23" spans="1:9" x14ac:dyDescent="0.25">
      <c r="A23" s="2" t="s">
        <v>13</v>
      </c>
      <c r="B23" s="2" t="s">
        <v>144</v>
      </c>
      <c r="C23" t="s">
        <v>88</v>
      </c>
      <c r="D23" t="s">
        <v>79</v>
      </c>
      <c r="E23" s="4">
        <v>2200</v>
      </c>
      <c r="F23" s="6" t="s">
        <v>1</v>
      </c>
      <c r="G23" s="4">
        <f>IF(Prestations[[#This Row],[Taxes]]="TTC",Prestations[[#This Row],[Cout]],Prestations[[#This Row],[Cout]]*1.2)</f>
        <v>2640</v>
      </c>
      <c r="H23" s="2" t="s">
        <v>134</v>
      </c>
      <c r="I23" t="s">
        <v>188</v>
      </c>
    </row>
    <row r="24" spans="1:9" x14ac:dyDescent="0.25">
      <c r="A24" s="2" t="s">
        <v>25</v>
      </c>
      <c r="B24" s="2" t="s">
        <v>25</v>
      </c>
      <c r="D24" t="s">
        <v>26</v>
      </c>
      <c r="E24" s="4">
        <v>160</v>
      </c>
      <c r="F24" s="6" t="s">
        <v>2</v>
      </c>
      <c r="G24" s="4">
        <f>IF(Prestations[[#This Row],[Taxes]]="TTC",Prestations[[#This Row],[Cout]],Prestations[[#This Row],[Cout]]*1.2)</f>
        <v>160</v>
      </c>
    </row>
    <row r="25" spans="1:9" x14ac:dyDescent="0.25">
      <c r="A25" s="2" t="s">
        <v>12</v>
      </c>
      <c r="B25" s="2" t="s">
        <v>111</v>
      </c>
      <c r="C25" t="s">
        <v>55</v>
      </c>
      <c r="D25" t="s">
        <v>108</v>
      </c>
      <c r="E25" s="4">
        <f>2400*12</f>
        <v>28800</v>
      </c>
      <c r="F25" s="6" t="s">
        <v>2</v>
      </c>
      <c r="G25" s="4">
        <f>IF(Prestations[[#This Row],[Taxes]]="TTC",Prestations[[#This Row],[Cout]],Prestations[[#This Row],[Cout]]*1.2)</f>
        <v>28800</v>
      </c>
      <c r="H25" s="2" t="s">
        <v>107</v>
      </c>
    </row>
    <row r="26" spans="1:9" x14ac:dyDescent="0.25">
      <c r="A26" s="2" t="s">
        <v>12</v>
      </c>
      <c r="B26" s="2" t="s">
        <v>110</v>
      </c>
      <c r="C26" t="s">
        <v>55</v>
      </c>
      <c r="D26" t="s">
        <v>108</v>
      </c>
      <c r="E26" s="4">
        <f>1320*12</f>
        <v>15840</v>
      </c>
      <c r="F26" s="6" t="s">
        <v>2</v>
      </c>
      <c r="G26" s="4">
        <f>IF(Prestations[[#This Row],[Taxes]]="TTC",Prestations[[#This Row],[Cout]],Prestations[[#This Row],[Cout]]*1.2)</f>
        <v>15840</v>
      </c>
      <c r="H26" s="2" t="s">
        <v>106</v>
      </c>
    </row>
    <row r="27" spans="1:9" x14ac:dyDescent="0.25">
      <c r="A27" s="2" t="s">
        <v>14</v>
      </c>
      <c r="B27" s="2" t="s">
        <v>122</v>
      </c>
      <c r="D27" t="s">
        <v>17</v>
      </c>
      <c r="E27" s="4">
        <v>3198.13</v>
      </c>
      <c r="F27" s="6" t="s">
        <v>2</v>
      </c>
      <c r="G27" s="4">
        <f>IF(Prestations[[#This Row],[Taxes]]="TTC",Prestations[[#This Row],[Cout]],Prestations[[#This Row],[Cout]]*1.2)</f>
        <v>3198.13</v>
      </c>
    </row>
    <row r="28" spans="1:9" x14ac:dyDescent="0.25">
      <c r="A28" s="2" t="s">
        <v>14</v>
      </c>
      <c r="B28" s="2" t="s">
        <v>121</v>
      </c>
      <c r="D28" t="s">
        <v>16</v>
      </c>
      <c r="E28" s="4">
        <v>3322.8</v>
      </c>
      <c r="F28" s="6" t="s">
        <v>2</v>
      </c>
      <c r="G28" s="4">
        <f>IF(Prestations[[#This Row],[Taxes]]="TTC",Prestations[[#This Row],[Cout]],Prestations[[#This Row],[Cout]]*1.2)</f>
        <v>3322.8</v>
      </c>
    </row>
    <row r="29" spans="1:9" x14ac:dyDescent="0.25">
      <c r="A29" s="2" t="s">
        <v>14</v>
      </c>
      <c r="B29" s="2" t="s">
        <v>120</v>
      </c>
      <c r="D29" t="s">
        <v>15</v>
      </c>
      <c r="E29" s="4">
        <v>3138.27</v>
      </c>
      <c r="F29" s="6" t="s">
        <v>2</v>
      </c>
      <c r="G29" s="4">
        <f>IF(Prestations[[#This Row],[Taxes]]="TTC",Prestations[[#This Row],[Cout]],Prestations[[#This Row],[Cout]]*1.2)</f>
        <v>3138.27</v>
      </c>
    </row>
    <row r="30" spans="1:9" x14ac:dyDescent="0.25">
      <c r="A30" s="2" t="s">
        <v>13</v>
      </c>
      <c r="B30" s="2" t="s">
        <v>138</v>
      </c>
      <c r="C30" t="s">
        <v>85</v>
      </c>
      <c r="D30" t="s">
        <v>79</v>
      </c>
      <c r="E30" s="4">
        <v>240</v>
      </c>
      <c r="F30" s="6" t="s">
        <v>1</v>
      </c>
      <c r="G30" s="4">
        <f>IF(Prestations[[#This Row],[Taxes]]="TTC",Prestations[[#This Row],[Cout]],Prestations[[#This Row],[Cout]]*1.2)</f>
        <v>288</v>
      </c>
      <c r="H30" s="2" t="s">
        <v>133</v>
      </c>
    </row>
    <row r="31" spans="1:9" x14ac:dyDescent="0.25">
      <c r="A31" s="2" t="s">
        <v>13</v>
      </c>
      <c r="B31" s="2" t="s">
        <v>139</v>
      </c>
      <c r="C31" t="s">
        <v>86</v>
      </c>
      <c r="D31" t="s">
        <v>79</v>
      </c>
      <c r="E31" s="4">
        <v>240</v>
      </c>
      <c r="F31" s="6" t="s">
        <v>1</v>
      </c>
      <c r="G31" s="4">
        <f>IF(Prestations[[#This Row],[Taxes]]="TTC",Prestations[[#This Row],[Cout]],Prestations[[#This Row],[Cout]]*1.2)</f>
        <v>288</v>
      </c>
      <c r="H31" s="2" t="s">
        <v>133</v>
      </c>
    </row>
    <row r="32" spans="1:9" x14ac:dyDescent="0.25">
      <c r="A32" s="2" t="s">
        <v>13</v>
      </c>
      <c r="B32" s="2" t="s">
        <v>141</v>
      </c>
      <c r="C32" t="s">
        <v>87</v>
      </c>
      <c r="D32" t="s">
        <v>79</v>
      </c>
      <c r="E32" s="4">
        <v>240</v>
      </c>
      <c r="F32" s="6" t="s">
        <v>1</v>
      </c>
      <c r="G32" s="4">
        <f>IF(Prestations[[#This Row],[Taxes]]="TTC",Prestations[[#This Row],[Cout]],Prestations[[#This Row],[Cout]]*1.2)</f>
        <v>288</v>
      </c>
      <c r="H32" s="2" t="s">
        <v>133</v>
      </c>
    </row>
    <row r="33" spans="1:9" x14ac:dyDescent="0.25">
      <c r="A33" s="2" t="s">
        <v>13</v>
      </c>
      <c r="B33" s="2" t="s">
        <v>143</v>
      </c>
      <c r="C33" t="s">
        <v>88</v>
      </c>
      <c r="D33" t="s">
        <v>79</v>
      </c>
      <c r="E33" s="4">
        <v>240</v>
      </c>
      <c r="F33" s="6" t="s">
        <v>1</v>
      </c>
      <c r="G33" s="4">
        <f>IF(Prestations[[#This Row],[Taxes]]="TTC",Prestations[[#This Row],[Cout]],Prestations[[#This Row],[Cout]]*1.2)</f>
        <v>288</v>
      </c>
      <c r="H33" s="2" t="s">
        <v>133</v>
      </c>
    </row>
    <row r="34" spans="1:9" x14ac:dyDescent="0.25">
      <c r="A34" s="2" t="s">
        <v>98</v>
      </c>
      <c r="B34" s="2" t="s">
        <v>171</v>
      </c>
      <c r="C34" s="2" t="s">
        <v>67</v>
      </c>
      <c r="D34" t="s">
        <v>170</v>
      </c>
      <c r="E34" s="5">
        <v>10000</v>
      </c>
      <c r="F34" s="7" t="s">
        <v>2</v>
      </c>
      <c r="G34" s="5">
        <f>IF(Prestations[[#This Row],[Taxes]]="TTC",Prestations[[#This Row],[Cout]],Prestations[[#This Row],[Cout]]*1.2)</f>
        <v>10000</v>
      </c>
      <c r="H34" s="3"/>
      <c r="I34" s="2"/>
    </row>
    <row r="35" spans="1:9" x14ac:dyDescent="0.25">
      <c r="A35" s="2" t="s">
        <v>98</v>
      </c>
      <c r="B35" s="2" t="s">
        <v>173</v>
      </c>
      <c r="C35" s="2" t="s">
        <v>67</v>
      </c>
      <c r="D35" t="s">
        <v>170</v>
      </c>
      <c r="E35" s="5">
        <v>12500</v>
      </c>
      <c r="F35" s="7" t="s">
        <v>2</v>
      </c>
      <c r="G35" s="5">
        <f>IF(Prestations[[#This Row],[Taxes]]="TTC",Prestations[[#This Row],[Cout]],Prestations[[#This Row],[Cout]]*1.2)</f>
        <v>12500</v>
      </c>
      <c r="H35" s="3"/>
      <c r="I35" s="2"/>
    </row>
    <row r="36" spans="1:9" x14ac:dyDescent="0.25">
      <c r="A36" s="2" t="s">
        <v>98</v>
      </c>
      <c r="B36" s="2" t="s">
        <v>172</v>
      </c>
      <c r="C36" s="2" t="s">
        <v>67</v>
      </c>
      <c r="D36" t="s">
        <v>170</v>
      </c>
      <c r="E36" s="5">
        <v>15000</v>
      </c>
      <c r="F36" s="7" t="s">
        <v>2</v>
      </c>
      <c r="G36" s="5">
        <f>IF(Prestations[[#This Row],[Taxes]]="TTC",Prestations[[#This Row],[Cout]],Prestations[[#This Row],[Cout]]*1.2)</f>
        <v>15000</v>
      </c>
      <c r="H36" s="3"/>
      <c r="I36" s="2"/>
    </row>
    <row r="37" spans="1:9" x14ac:dyDescent="0.25">
      <c r="A37" s="2" t="s">
        <v>98</v>
      </c>
      <c r="B37" s="2" t="s">
        <v>98</v>
      </c>
      <c r="C37" s="2" t="s">
        <v>67</v>
      </c>
      <c r="D37" t="s">
        <v>27</v>
      </c>
      <c r="E37" s="5">
        <v>16800</v>
      </c>
      <c r="F37" s="7" t="s">
        <v>2</v>
      </c>
      <c r="G37" s="5">
        <f>IF(Prestations[[#This Row],[Taxes]]="TTC",Prestations[[#This Row],[Cout]],Prestations[[#This Row],[Cout]]*1.2)</f>
        <v>16800</v>
      </c>
      <c r="H37" s="3" t="s">
        <v>99</v>
      </c>
      <c r="I37" s="2" t="s">
        <v>188</v>
      </c>
    </row>
    <row r="38" spans="1:9" ht="30" x14ac:dyDescent="0.25">
      <c r="A38" s="2" t="s">
        <v>20</v>
      </c>
      <c r="B38" s="2" t="s">
        <v>405</v>
      </c>
      <c r="C38" t="s">
        <v>72</v>
      </c>
      <c r="D38" t="s">
        <v>406</v>
      </c>
      <c r="E38" s="4">
        <v>10932.1</v>
      </c>
      <c r="F38" s="6" t="s">
        <v>1</v>
      </c>
      <c r="G38" s="4">
        <f>IF(Prestations[[#This Row],[Taxes]]="TTC",Prestations[[#This Row],[Cout]],Prestations[[#This Row],[Cout]]*1.2)</f>
        <v>13118.52</v>
      </c>
      <c r="H38" s="2" t="s">
        <v>407</v>
      </c>
      <c r="I38" t="s">
        <v>188</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71BD1E1-9B70-433B-ADD3-203A568DABB9}">
          <x14:formula1>
            <xm:f>Provisions!$B:$B</xm:f>
          </x14:formula1>
          <xm:sqref>C1:C1048576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70033-6D84-464B-B961-92495B0C5214}">
  <sheetPr>
    <tabColor theme="9" tint="0.79998168889431442"/>
  </sheetPr>
  <dimension ref="A1:D2"/>
  <sheetViews>
    <sheetView workbookViewId="0">
      <selection activeCell="AC32" sqref="AC32"/>
    </sheetView>
  </sheetViews>
  <sheetFormatPr baseColWidth="10" defaultColWidth="9.140625" defaultRowHeight="15" x14ac:dyDescent="0.25"/>
  <cols>
    <col min="1" max="1" width="19.5703125" bestFit="1" customWidth="1"/>
    <col min="2" max="2" width="25.85546875" bestFit="1" customWidth="1"/>
    <col min="3" max="3" width="23.28515625" bestFit="1" customWidth="1"/>
    <col min="4" max="4" width="35" customWidth="1"/>
  </cols>
  <sheetData>
    <row r="1" spans="1:4" x14ac:dyDescent="0.25">
      <c r="A1" t="s">
        <v>183</v>
      </c>
      <c r="B1" t="s">
        <v>182</v>
      </c>
      <c r="C1" t="s">
        <v>178</v>
      </c>
      <c r="D1" t="s">
        <v>402</v>
      </c>
    </row>
    <row r="2" spans="1:4" x14ac:dyDescent="0.25">
      <c r="A2" t="s">
        <v>184</v>
      </c>
      <c r="B2">
        <f>5735*2.5</f>
        <v>14337.5</v>
      </c>
      <c r="C2">
        <v>0.5</v>
      </c>
      <c r="D2">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14CF7-5923-4DED-930D-3E03DADAB8BE}">
  <sheetPr>
    <tabColor theme="9" tint="0.79998168889431442"/>
  </sheetPr>
  <dimension ref="A1:J3"/>
  <sheetViews>
    <sheetView topLeftCell="B1" workbookViewId="0">
      <selection activeCell="E3" sqref="E3"/>
    </sheetView>
  </sheetViews>
  <sheetFormatPr baseColWidth="10" defaultColWidth="9.140625" defaultRowHeight="15" x14ac:dyDescent="0.25"/>
  <cols>
    <col min="1" max="1" width="20.140625" bestFit="1" customWidth="1"/>
    <col min="2" max="2" width="20.5703125" customWidth="1"/>
    <col min="3" max="3" width="21.28515625" style="1" customWidth="1"/>
    <col min="4" max="4" width="30.140625" bestFit="1" customWidth="1"/>
    <col min="5" max="5" width="24.7109375" customWidth="1"/>
    <col min="6" max="6" width="17.42578125" bestFit="1" customWidth="1"/>
    <col min="7" max="7" width="29" bestFit="1" customWidth="1"/>
    <col min="8" max="8" width="133.85546875" bestFit="1" customWidth="1"/>
    <col min="9" max="9" width="36.7109375" customWidth="1"/>
    <col min="10" max="10" width="32.140625" bestFit="1" customWidth="1"/>
  </cols>
  <sheetData>
    <row r="1" spans="1:10" x14ac:dyDescent="0.25">
      <c r="A1" t="s">
        <v>179</v>
      </c>
      <c r="B1" t="s">
        <v>180</v>
      </c>
      <c r="C1" s="1" t="s">
        <v>181</v>
      </c>
      <c r="D1" s="1" t="s">
        <v>396</v>
      </c>
      <c r="E1" s="1" t="s">
        <v>404</v>
      </c>
      <c r="F1" s="12" t="s">
        <v>398</v>
      </c>
      <c r="G1" t="s">
        <v>186</v>
      </c>
      <c r="H1" t="s">
        <v>136</v>
      </c>
      <c r="I1" t="s">
        <v>403</v>
      </c>
      <c r="J1" t="s">
        <v>400</v>
      </c>
    </row>
    <row r="2" spans="1:10" x14ac:dyDescent="0.25">
      <c r="A2" t="s">
        <v>394</v>
      </c>
      <c r="B2" s="11" t="s">
        <v>70</v>
      </c>
      <c r="C2" s="1">
        <f>392*1.2/4900</f>
        <v>9.6000000000000002E-2</v>
      </c>
      <c r="D2" s="1" t="s">
        <v>397</v>
      </c>
      <c r="E2" s="1">
        <f>392*1.2</f>
        <v>470.4</v>
      </c>
      <c r="F2" s="12">
        <v>4900</v>
      </c>
      <c r="G2">
        <v>120</v>
      </c>
      <c r="H2" t="s">
        <v>393</v>
      </c>
      <c r="I2">
        <v>37</v>
      </c>
      <c r="J2">
        <v>30</v>
      </c>
    </row>
    <row r="3" spans="1:10" x14ac:dyDescent="0.25">
      <c r="A3" t="s">
        <v>395</v>
      </c>
      <c r="B3" t="s">
        <v>71</v>
      </c>
      <c r="C3" s="1">
        <v>0.12559999999999999</v>
      </c>
      <c r="D3" s="1" t="s">
        <v>401</v>
      </c>
      <c r="E3" s="1">
        <v>0.12559999999999999</v>
      </c>
      <c r="F3" s="12">
        <v>1</v>
      </c>
      <c r="G3">
        <v>140</v>
      </c>
      <c r="H3" t="s">
        <v>399</v>
      </c>
      <c r="I3">
        <f>12</f>
        <v>12</v>
      </c>
      <c r="J3">
        <v>10</v>
      </c>
    </row>
  </sheetData>
  <phoneticPr fontId="2" type="noConversion"/>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Provisions</vt:lpstr>
      <vt:lpstr>Lots</vt:lpstr>
      <vt:lpstr>Prestations</vt:lpstr>
      <vt:lpstr>Residence</vt:lpstr>
      <vt:lpstr>Chauffage central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Diné</dc:creator>
  <cp:lastModifiedBy>Victor Diné</cp:lastModifiedBy>
  <dcterms:created xsi:type="dcterms:W3CDTF">2015-06-05T18:17:20Z</dcterms:created>
  <dcterms:modified xsi:type="dcterms:W3CDTF">2026-10-17T22:52:18Z</dcterms:modified>
</cp:coreProperties>
</file>