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276" documentId="13_ncr:1_{471232EB-3AAB-4D08-BC1C-7B7CD1C1D853}" xr6:coauthVersionLast="47" xr6:coauthVersionMax="47" xr10:uidLastSave="{D5BCE6EF-3B86-4285-8B2D-14A1ABACB257}"/>
  <bookViews>
    <workbookView xWindow="-120" yWindow="-120" windowWidth="29040" windowHeight="15720" activeTab="3"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2" l="1"/>
  <c r="C2" i="11"/>
  <c r="G27" i="10"/>
  <c r="G45" i="10"/>
  <c r="G44" i="10"/>
  <c r="G43" i="10"/>
  <c r="G42" i="10"/>
  <c r="G41" i="10"/>
  <c r="G40" i="10"/>
  <c r="G39" i="10"/>
  <c r="G38" i="10"/>
  <c r="G37" i="10"/>
  <c r="G36" i="10"/>
  <c r="G35" i="10"/>
  <c r="E34" i="10"/>
  <c r="G34" i="10" s="1"/>
  <c r="E33" i="10"/>
  <c r="G33" i="10" s="1"/>
  <c r="G32" i="10"/>
  <c r="G31" i="10"/>
  <c r="G30" i="10"/>
  <c r="G29" i="10"/>
  <c r="G28" i="10"/>
  <c r="G26" i="10"/>
  <c r="G25" i="10"/>
  <c r="G24" i="10"/>
  <c r="E23" i="10"/>
  <c r="G23" i="10" s="1"/>
  <c r="E22" i="10"/>
  <c r="G22" i="10" s="1"/>
  <c r="E21" i="10"/>
  <c r="G21" i="10" s="1"/>
  <c r="G20" i="10"/>
  <c r="G19" i="10"/>
  <c r="E18" i="10"/>
  <c r="G18" i="10" s="1"/>
  <c r="E17" i="10"/>
  <c r="G17" i="10" s="1"/>
  <c r="G16" i="10"/>
  <c r="G15" i="10"/>
  <c r="G14" i="10"/>
  <c r="G13" i="10"/>
  <c r="G12" i="10"/>
  <c r="G11" i="10"/>
  <c r="G10" i="10"/>
  <c r="G9" i="10"/>
  <c r="G8" i="10"/>
  <c r="G7" i="10"/>
  <c r="G6" i="10"/>
  <c r="G5" i="10"/>
  <c r="G4" i="10"/>
  <c r="G3" i="10"/>
  <c r="G2" i="10"/>
</calcChain>
</file>

<file path=xl/sharedStrings.xml><?xml version="1.0" encoding="utf-8"?>
<sst xmlns="http://schemas.openxmlformats.org/spreadsheetml/2006/main" count="634" uniqueCount="410">
  <si>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</si>
  <si>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</si>
  <si>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</si>
  <si>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</si>
  <si>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</si>
  <si>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</si>
  <si>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</si>
  <si>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</si>
  <si>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</si>
  <si>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</si>
  <si>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</si>
  <si>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</si>
  <si>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</si>
  <si>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</si>
  <si>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</si>
  <si>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</si>
  <si>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</si>
  <si>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</si>
  <si>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</si>
  <si>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</si>
  <si>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</si>
  <si>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</si>
  <si>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</si>
  <si>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</si>
  <si>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</si>
  <si>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</si>
  <si>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</si>
  <si>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</si>
  <si>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</si>
  <si>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</si>
  <si>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</si>
  <si>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</si>
  <si>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</si>
  <si>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</si>
  <si>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</si>
  <si>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</si>
  <si>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</si>
  <si>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</si>
  <si>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</si>
  <si>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</si>
  <si>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</si>
  <si>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</si>
  <si>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</si>
  <si>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</si>
  <si>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</si>
  <si>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</si>
  <si>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</si>
  <si>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</si>
  <si>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</si>
  <si>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</si>
  <si>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</si>
  <si>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</si>
  <si>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</si>
  <si>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</si>
  <si>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</si>
  <si>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</si>
  <si>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</si>
  <si>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</si>
  <si>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</si>
  <si>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</si>
  <si>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</si>
  <si>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</si>
  <si>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</si>
  <si>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</si>
  <si>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</si>
  <si>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</si>
  <si>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</si>
  <si>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</si>
  <si>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</si>
  <si>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</si>
  <si>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</si>
  <si>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</si>
  <si>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</si>
  <si>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</si>
  <si>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</si>
  <si>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</si>
  <si>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</si>
  <si>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</si>
  <si>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</si>
  <si>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</si>
  <si>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</si>
  <si>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</si>
  <si>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</si>
  <si>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</si>
  <si>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</si>
  <si>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</si>
  <si>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</si>
  <si>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</si>
  <si>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</si>
  <si>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</si>
  <si>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</si>
  <si>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</si>
  <si>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</si>
  <si>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</si>
  <si>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</si>
  <si>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</si>
  <si>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</si>
  <si>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</si>
  <si>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</si>
  <si>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</si>
  <si>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</si>
  <si>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</si>
  <si>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</si>
  <si>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</si>
  <si>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</si>
  <si>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</si>
  <si>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</si>
  <si>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</si>
  <si>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</si>
  <si>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</si>
  <si>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</si>
  <si>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</si>
  <si>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</si>
  <si>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</si>
  <si>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</si>
  <si>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</si>
  <si>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</si>
  <si>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</si>
  <si>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</si>
  <si>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</si>
  <si>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</si>
  <si>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</si>
  <si>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</si>
  <si>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</si>
  <si>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</si>
  <si>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</si>
  <si>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</si>
  <si>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</si>
  <si>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</si>
  <si>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</si>
  <si>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</si>
  <si>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</si>
  <si>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</si>
  <si>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</si>
  <si>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</si>
  <si>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</si>
  <si>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</si>
  <si>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</si>
  <si>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</si>
  <si>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</si>
  <si>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</si>
  <si>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</si>
  <si>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</si>
  <si>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</si>
  <si>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</si>
  <si>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</si>
  <si>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</si>
  <si>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</si>
  <si>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</si>
  <si>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</si>
  <si>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</si>
  <si>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</si>
  <si>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</si>
  <si>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</si>
  <si>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</si>
  <si>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</si>
  <si>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</si>
  <si>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</si>
  <si>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</si>
  <si>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</si>
  <si>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</si>
  <si>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</si>
  <si>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</si>
  <si>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</si>
  <si>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</si>
  <si>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</si>
  <si>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</si>
  <si>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</si>
  <si>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</si>
  <si>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</si>
  <si>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</si>
  <si>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</si>
  <si>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</si>
  <si>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</si>
  <si>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</si>
  <si>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</si>
  <si>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</si>
  <si>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</si>
  <si>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Estimation IA</t>
  </si>
  <si>
    <t>Syndic fourcette basse</t>
  </si>
  <si>
    <t>Syndic fourcette haute</t>
  </si>
  <si>
    <t>Syndic fourcette moyenne</t>
  </si>
  <si>
    <t>2 - Consommation pour un hiver doux</t>
  </si>
  <si>
    <t>1 - Consommation pour un hiver très doux</t>
  </si>
  <si>
    <t>3 - Consommation pour un hiver normal</t>
  </si>
  <si>
    <t>4 - Consommation pour un hiver rude</t>
  </si>
  <si>
    <t>Tantièmes Stationnement</t>
  </si>
  <si>
    <t>ID</t>
  </si>
  <si>
    <t>ID prestation</t>
  </si>
  <si>
    <t>ID tantiemes</t>
  </si>
  <si>
    <t>Coefficient d'isolation</t>
  </si>
  <si>
    <t>Type de chaudière</t>
  </si>
  <si>
    <t>ID poste de provision</t>
  </si>
  <si>
    <t>Prix unitaire du kWh</t>
  </si>
  <si>
    <t>Atlantic Varmax 2 225</t>
  </si>
  <si>
    <t>Volume à chauffer en m3</t>
  </si>
  <si>
    <t>Label</t>
  </si>
  <si>
    <t>Terrasses de Gallieni</t>
  </si>
  <si>
    <t>Ordre d'utilisation</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</si>
  <si>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</si>
  <si>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</si>
  <si>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</si>
  <si>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</si>
  <si>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</si>
  <si>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</si>
  <si>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</si>
  <si>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</si>
  <si>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</si>
  <si>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</si>
  <si>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</si>
  <si>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</si>
  <si>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</si>
  <si>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</si>
  <si>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</si>
  <si>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</si>
  <si>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</si>
  <si>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Herz Firematic 130</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</si>
  <si>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</si>
  <si>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</si>
  <si>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</si>
  <si>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</si>
  <si>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</si>
  <si>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</si>
  <si>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</si>
  <si>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</si>
  <si>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</si>
  <si>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</si>
  <si>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</si>
  <si>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Chaudière d'appoint au gaz 0,1256€ le kWh</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</si>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</sst>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cellXfs>
  <cellStyles count="3">
    <cellStyle name="Currency" xfId="1" builtinId="4"/>
    <cellStyle name="Normal" xfId="0" builtinId="0"/>
    <cellStyle name="Percent" xfId="2" builtinId="5"/>
  </cellStyles>
  <dxfs count="27">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11" totalsRowDxfId="10"/>
    <tableColumn id="5" xr3:uid="{CA26B6F8-88AD-418A-B213-749ABA66E926}" name="Description longue"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26"/>
    <tableColumn id="1" xr3:uid="{788DBA8C-5B77-4079-8161-FA45C58518AE}" name="Description"/>
    <tableColumn id="2" xr3:uid="{BE5ACA99-AEAF-4E51-BE0A-B3FB8FCCF08B}" name="Tantièmes copropriété" dataDxfId="25">
      <calculatedColumnFormula>7/10000</calculatedColumnFormula>
    </tableColumn>
    <tableColumn id="8" xr3:uid="{D62FAA89-C46E-4AF6-A14F-7FD6F46E7F00}" name="Tantièmes ascenseur 1-1" dataDxfId="24"/>
    <tableColumn id="9" xr3:uid="{C3B9BDED-CB2A-4305-9CBF-418F5971AC1E}" name="Tantièmes ascenseur 1-2" dataDxfId="23"/>
    <tableColumn id="10" xr3:uid="{C2291DE1-C707-4F83-846E-F914B4B42E52}" name="Tantièmes ascenseur 2" dataDxfId="22"/>
    <tableColumn id="11" xr3:uid="{4F70F08A-4C2F-41B0-88EB-711B1A0760CD}" name="Tantièmes ascenseur 3" dataDxfId="21"/>
    <tableColumn id="14" xr3:uid="{80D23396-716C-46AC-9B55-BCBC6C981351}" name="Tantièmes chauffage" dataDxfId="20"/>
    <tableColumn id="15" xr3:uid="{E3955139-B619-4DD0-8FC1-ECA97048DFE4}" name="Tantièmes Batiment 1" dataDxfId="19"/>
    <tableColumn id="16" xr3:uid="{C73E9407-A858-4EF7-81C2-6C70C4B157A2}" name="Tantièmes Batiment 2" dataDxfId="18"/>
    <tableColumn id="17" xr3:uid="{A07338CA-0096-4091-89B2-A46FF2D323C2}" name="Tantièmes Batiment 3" dataDxfId="17"/>
    <tableColumn id="18" xr3:uid="{7A3012D8-2375-4F10-9E84-F2F5060C6A99}" name="Tantièmes Hall 1-1" dataDxfId="16"/>
    <tableColumn id="19" xr3:uid="{67961B6E-B577-4A49-B099-623FB85519B4}" name="Tantièmes Hall 1-2" dataDxfId="15"/>
    <tableColumn id="20" xr3:uid="{03C201C1-F8AA-4D3C-AEBC-425B180BC2D7}" name="Tantièmes Hall 2" dataDxfId="14"/>
    <tableColumn id="21" xr3:uid="{4826FC05-81A9-4020-8D1D-83D3D5C5A05A}" name="Tantièmes Logement/Stationnements" dataDxfId="13"/>
    <tableColumn id="6" xr3:uid="{7B87787E-3595-42D5-B815-AF76B67432D8}" name="Tantièmes Stationnement" dataDxfId="1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5" totalsRowShown="0">
  <autoFilter ref="A1:I45" xr:uid="{AFF80A4D-E18B-42B5-9271-DD654E188D32}"/>
  <sortState xmlns:xlrd2="http://schemas.microsoft.com/office/spreadsheetml/2017/richdata2" ref="A2:H45">
    <sortCondition ref="B1:B45"/>
  </sortState>
  <tableColumns count="9">
    <tableColumn id="1" xr3:uid="{7753A616-C6B5-4B02-AE3F-2A95253630B8}" name="Type de prestation" dataDxfId="8"/>
    <tableColumn id="2" xr3:uid="{D7B6EA29-CA0A-4C24-9A81-3DF01785BD0C}" name="Label de la prestation" dataDxfId="7"/>
    <tableColumn id="8" xr3:uid="{91FE62B8-BF79-4277-91C2-4B3C13901105}" name="ID prestation" dataDxfId="6"/>
    <tableColumn id="3" xr3:uid="{2ADF6FF1-1416-43FA-A9BF-E696654CC8CD}" name="Prestataire"/>
    <tableColumn id="4" xr3:uid="{1C295B62-0191-41FA-9660-5BADE532BEE7}" name="Cout" dataDxfId="5"/>
    <tableColumn id="5" xr3:uid="{1E3C456B-12BB-4B06-B366-57CE3DA87819}" name="Taxes" dataDxfId="4"/>
    <tableColumn id="6" xr3:uid="{20997A37-E6E3-4308-9ACD-8D77B289D813}" name="Total TTC" dataDxfId="3">
      <calculatedColumnFormula>IF(Prestations[[#This Row],[Taxes]]="TTC",Prestations[[#This Row],[Cout]],Prestations[[#This Row],[Cout]]*1.2)</calculatedColumnFormula>
    </tableColumn>
    <tableColumn id="7" xr3:uid="{6BDB0ED6-23A7-4E1A-A654-9E18B0DA38B5}" name="Description" dataDxfId="2"/>
    <tableColumn id="9" xr3:uid="{C919E254-DE7F-4D3B-8CF6-79E643BBF97F}" name="Prestation choisie actuellement" dataDxfId="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C2" totalsRowShown="0">
  <autoFilter ref="A1:C2" xr:uid="{0628909A-75FF-41C1-9EE4-F3C649717216}"/>
  <tableColumns count="3">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F3" totalsRowShown="0">
  <autoFilter ref="A1:F3" xr:uid="{587622F4-20CE-4A1D-A4F7-C9DCD51AF751}"/>
  <tableColumns count="6">
    <tableColumn id="1" xr3:uid="{455C30A6-2C19-4BD7-B8A4-D1C6252917DD}" name="Type de chaudière"/>
    <tableColumn id="2" xr3:uid="{FAAC8507-DC80-422C-8508-496178C23374}" name="ID poste de provision"/>
    <tableColumn id="3" xr3:uid="{17764D71-05D7-4B37-8536-4004CBBE2CD4}" name="Prix unitaire du kWh" dataDxfId="0" dataCellStyle="Currency"/>
    <tableColumn id="4" xr3:uid="{FECEDA0B-3F17-4D04-AB3F-B1B848AA5DB2}" name="Production maximum en kW"/>
    <tableColumn id="5" xr3:uid="{ED1B8FB3-6899-430D-BDC7-A9BDBA679526}" name="Ordre d'utilisation"/>
    <tableColumn id="6" xr3:uid="{F8EB0843-7F05-427F-9B41-0852730F32C9}"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workbookViewId="0">
      <selection activeCell="F2" sqref="F2"/>
    </sheetView>
  </sheetViews>
  <sheetFormatPr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bestFit="1" customWidth="1"/>
    <col min="6" max="6" width="147" customWidth="1"/>
  </cols>
  <sheetData>
    <row r="1" spans="1:6" x14ac:dyDescent="0.25">
      <c r="A1" t="s">
        <v>189</v>
      </c>
      <c r="B1" t="s">
        <v>187</v>
      </c>
      <c r="C1" t="s">
        <v>136</v>
      </c>
      <c r="D1" t="s">
        <v>94</v>
      </c>
      <c r="E1" s="1" t="s">
        <v>95</v>
      </c>
      <c r="F1" t="s">
        <v>215</v>
      </c>
    </row>
    <row r="2" spans="1:6" ht="45" x14ac:dyDescent="0.25">
      <c r="A2" t="s">
        <v>145</v>
      </c>
      <c r="B2" t="s">
        <v>223</v>
      </c>
      <c r="C2" t="s">
        <v>29</v>
      </c>
      <c r="D2" t="s">
        <v>29</v>
      </c>
      <c r="E2" s="1">
        <v>35000</v>
      </c>
      <c r="F2" s="2" t="s">
        <v>229</v>
      </c>
    </row>
    <row r="3" spans="1:6" x14ac:dyDescent="0.25">
      <c r="A3" t="s">
        <v>149</v>
      </c>
      <c r="B3" t="s">
        <v>70</v>
      </c>
      <c r="C3" s="1" t="s">
        <v>157</v>
      </c>
      <c r="D3" s="1" t="s">
        <v>46</v>
      </c>
      <c r="E3" s="1">
        <v>27000</v>
      </c>
      <c r="F3" s="2" t="s">
        <v>217</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177</v>
      </c>
      <c r="B14" t="s">
        <v>88</v>
      </c>
      <c r="C14" t="s">
        <v>165</v>
      </c>
      <c r="D14" t="s">
        <v>84</v>
      </c>
      <c r="E14" s="1">
        <v>2700</v>
      </c>
      <c r="F14" s="2"/>
    </row>
    <row r="15" spans="1:6" x14ac:dyDescent="0.25">
      <c r="A15" t="s">
        <v>150</v>
      </c>
      <c r="B15" t="s">
        <v>159</v>
      </c>
      <c r="C15" t="s">
        <v>166</v>
      </c>
      <c r="D15" t="s">
        <v>166</v>
      </c>
      <c r="E15" s="1">
        <v>2000</v>
      </c>
      <c r="F15" s="2" t="s">
        <v>220</v>
      </c>
    </row>
    <row r="16" spans="1:6" x14ac:dyDescent="0.25">
      <c r="A16" t="s">
        <v>145</v>
      </c>
      <c r="B16" t="s">
        <v>54</v>
      </c>
      <c r="C16" t="s">
        <v>97</v>
      </c>
      <c r="D16" t="s">
        <v>30</v>
      </c>
      <c r="E16" s="1">
        <v>1500</v>
      </c>
      <c r="F16" s="2"/>
    </row>
    <row r="17" spans="1:6" x14ac:dyDescent="0.25">
      <c r="A17" t="s">
        <v>186</v>
      </c>
      <c r="B17" t="s">
        <v>89</v>
      </c>
      <c r="C17" t="s">
        <v>53</v>
      </c>
      <c r="D17" t="s">
        <v>53</v>
      </c>
      <c r="E17" s="1">
        <v>1500</v>
      </c>
      <c r="F17" s="2"/>
    </row>
    <row r="18" spans="1:6" ht="60" x14ac:dyDescent="0.25">
      <c r="A18" t="s">
        <v>145</v>
      </c>
      <c r="B18" t="s">
        <v>62</v>
      </c>
      <c r="C18" t="s">
        <v>38</v>
      </c>
      <c r="D18" t="s">
        <v>38</v>
      </c>
      <c r="E18" s="1">
        <v>1050</v>
      </c>
      <c r="F18" s="2" t="s">
        <v>214</v>
      </c>
    </row>
    <row r="19" spans="1:6" x14ac:dyDescent="0.25">
      <c r="A19" t="s">
        <v>151</v>
      </c>
      <c r="B19" t="s">
        <v>160</v>
      </c>
      <c r="C19" t="s">
        <v>167</v>
      </c>
      <c r="D19" t="s">
        <v>167</v>
      </c>
      <c r="E19" s="1">
        <v>1000</v>
      </c>
      <c r="F19" s="2" t="s">
        <v>221</v>
      </c>
    </row>
    <row r="20" spans="1:6" x14ac:dyDescent="0.25">
      <c r="A20" t="s">
        <v>152</v>
      </c>
      <c r="B20" t="s">
        <v>161</v>
      </c>
      <c r="C20" t="s">
        <v>168</v>
      </c>
      <c r="D20" t="s">
        <v>168</v>
      </c>
      <c r="E20" s="1">
        <v>1000</v>
      </c>
      <c r="F20" s="2" t="s">
        <v>222</v>
      </c>
    </row>
    <row r="21" spans="1:6" ht="75" x14ac:dyDescent="0.25">
      <c r="A21" t="s">
        <v>145</v>
      </c>
      <c r="B21" t="s">
        <v>60</v>
      </c>
      <c r="C21" t="s">
        <v>36</v>
      </c>
      <c r="D21" t="s">
        <v>36</v>
      </c>
      <c r="E21" s="1">
        <v>920</v>
      </c>
      <c r="F21" s="2" t="s">
        <v>213</v>
      </c>
    </row>
    <row r="22" spans="1:6" ht="135" x14ac:dyDescent="0.25">
      <c r="A22" t="s">
        <v>145</v>
      </c>
      <c r="B22" t="s">
        <v>61</v>
      </c>
      <c r="C22" t="s">
        <v>37</v>
      </c>
      <c r="D22" t="s">
        <v>37</v>
      </c>
      <c r="E22" s="1">
        <v>900</v>
      </c>
      <c r="F22" s="2" t="s">
        <v>212</v>
      </c>
    </row>
    <row r="23" spans="1:6" x14ac:dyDescent="0.25">
      <c r="A23" t="s">
        <v>145</v>
      </c>
      <c r="B23" t="s">
        <v>69</v>
      </c>
      <c r="C23" t="s">
        <v>45</v>
      </c>
      <c r="D23" t="s">
        <v>45</v>
      </c>
      <c r="E23" s="1">
        <v>850</v>
      </c>
      <c r="F23" s="2"/>
    </row>
    <row r="24" spans="1:6" x14ac:dyDescent="0.25">
      <c r="A24" t="s">
        <v>145</v>
      </c>
      <c r="B24" t="s">
        <v>66</v>
      </c>
      <c r="C24" t="s">
        <v>42</v>
      </c>
      <c r="D24" t="s">
        <v>42</v>
      </c>
      <c r="E24" s="1">
        <v>750</v>
      </c>
      <c r="F24" s="2" t="s">
        <v>219</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207</v>
      </c>
    </row>
    <row r="27" spans="1:6" x14ac:dyDescent="0.25">
      <c r="A27" t="s">
        <v>145</v>
      </c>
      <c r="B27" t="s">
        <v>68</v>
      </c>
      <c r="C27" t="s">
        <v>44</v>
      </c>
      <c r="D27" t="s">
        <v>44</v>
      </c>
      <c r="E27" s="1">
        <v>570</v>
      </c>
      <c r="F27" s="2"/>
    </row>
    <row r="28" spans="1:6" x14ac:dyDescent="0.25">
      <c r="A28" t="s">
        <v>186</v>
      </c>
      <c r="B28" t="s">
        <v>73</v>
      </c>
      <c r="C28" t="s">
        <v>49</v>
      </c>
      <c r="D28" t="s">
        <v>49</v>
      </c>
      <c r="E28" s="1">
        <v>450</v>
      </c>
      <c r="F28" s="2" t="s">
        <v>218</v>
      </c>
    </row>
    <row r="29" spans="1:6" ht="60" x14ac:dyDescent="0.25">
      <c r="A29" t="s">
        <v>186</v>
      </c>
      <c r="B29" t="s">
        <v>76</v>
      </c>
      <c r="C29" t="s">
        <v>52</v>
      </c>
      <c r="D29" t="s">
        <v>52</v>
      </c>
      <c r="E29" s="1">
        <v>360</v>
      </c>
      <c r="F29" s="2" t="s">
        <v>211</v>
      </c>
    </row>
    <row r="30" spans="1:6" ht="45" x14ac:dyDescent="0.25">
      <c r="A30" t="s">
        <v>186</v>
      </c>
      <c r="B30" t="s">
        <v>75</v>
      </c>
      <c r="C30" t="s">
        <v>51</v>
      </c>
      <c r="D30" t="s">
        <v>51</v>
      </c>
      <c r="E30" s="1">
        <v>320</v>
      </c>
      <c r="F30" s="2" t="s">
        <v>210</v>
      </c>
    </row>
    <row r="31" spans="1:6" ht="60" x14ac:dyDescent="0.25">
      <c r="A31" t="s">
        <v>145</v>
      </c>
      <c r="B31" t="s">
        <v>58</v>
      </c>
      <c r="C31" t="s">
        <v>34</v>
      </c>
      <c r="D31" t="s">
        <v>34</v>
      </c>
      <c r="E31" s="1">
        <v>240</v>
      </c>
      <c r="F31" s="2" t="s">
        <v>209</v>
      </c>
    </row>
    <row r="32" spans="1:6" x14ac:dyDescent="0.25">
      <c r="A32" t="s">
        <v>145</v>
      </c>
      <c r="B32" t="s">
        <v>57</v>
      </c>
      <c r="C32" t="s">
        <v>33</v>
      </c>
      <c r="D32" t="s">
        <v>33</v>
      </c>
      <c r="E32" s="1">
        <v>220</v>
      </c>
      <c r="F32" s="2"/>
    </row>
    <row r="33" spans="1:6" ht="45" x14ac:dyDescent="0.25">
      <c r="A33" t="s">
        <v>186</v>
      </c>
      <c r="B33" t="s">
        <v>74</v>
      </c>
      <c r="C33" t="s">
        <v>50</v>
      </c>
      <c r="D33" t="s">
        <v>50</v>
      </c>
      <c r="E33" s="1">
        <v>90</v>
      </c>
      <c r="F33" s="2" t="s">
        <v>208</v>
      </c>
    </row>
    <row r="34" spans="1:6" x14ac:dyDescent="0.25">
      <c r="A34" t="s">
        <v>145</v>
      </c>
      <c r="B34" t="s">
        <v>59</v>
      </c>
      <c r="C34" t="s">
        <v>35</v>
      </c>
      <c r="D34" t="s">
        <v>35</v>
      </c>
      <c r="E34" s="1"/>
      <c r="F34" s="2"/>
    </row>
    <row r="35" spans="1:6" x14ac:dyDescent="0.25">
      <c r="A35" t="s">
        <v>145</v>
      </c>
      <c r="B35" t="s">
        <v>225</v>
      </c>
      <c r="C35" s="1" t="s">
        <v>224</v>
      </c>
      <c r="D35" t="s">
        <v>226</v>
      </c>
      <c r="F35" s="2" t="s">
        <v>227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177</v>
      </c>
      <c r="H1" s="8" t="s">
        <v>149</v>
      </c>
      <c r="I1" s="8" t="s">
        <v>150</v>
      </c>
      <c r="J1" s="8" t="s">
        <v>151</v>
      </c>
      <c r="K1" s="8" t="s">
        <v>152</v>
      </c>
      <c r="L1" s="8" t="s">
        <v>153</v>
      </c>
      <c r="M1" s="8" t="s">
        <v>154</v>
      </c>
      <c r="N1" s="8" t="s">
        <v>155</v>
      </c>
      <c r="O1" s="8" t="s">
        <v>156</v>
      </c>
      <c r="P1" s="8" t="s">
        <v>186</v>
      </c>
    </row>
    <row r="2" spans="1:16" x14ac:dyDescent="0.25">
      <c r="A2" s="8">
        <v>101</v>
      </c>
      <c r="B2" t="s">
        <v>256</v>
      </c>
      <c r="C2">
        <v>462</v>
      </c>
      <c r="I2">
        <v>1055</v>
      </c>
    </row>
    <row r="3" spans="1:16" x14ac:dyDescent="0.25">
      <c r="A3" s="8">
        <v>102</v>
      </c>
      <c r="B3" t="s">
        <v>230</v>
      </c>
      <c r="C3">
        <v>119</v>
      </c>
      <c r="D3">
        <v>389</v>
      </c>
      <c r="H3">
        <v>156</v>
      </c>
      <c r="I3">
        <v>272</v>
      </c>
      <c r="L3">
        <v>585</v>
      </c>
      <c r="O3">
        <v>131</v>
      </c>
    </row>
    <row r="4" spans="1:16" x14ac:dyDescent="0.25">
      <c r="A4" s="8">
        <v>103</v>
      </c>
      <c r="B4" t="s">
        <v>231</v>
      </c>
      <c r="C4">
        <v>83</v>
      </c>
      <c r="D4">
        <v>292</v>
      </c>
      <c r="H4">
        <v>108</v>
      </c>
      <c r="I4">
        <v>191</v>
      </c>
      <c r="L4">
        <v>411</v>
      </c>
      <c r="O4">
        <v>92</v>
      </c>
    </row>
    <row r="5" spans="1:16" x14ac:dyDescent="0.25">
      <c r="A5" s="8">
        <v>104</v>
      </c>
      <c r="B5" t="s">
        <v>232</v>
      </c>
      <c r="C5">
        <v>130</v>
      </c>
      <c r="D5">
        <v>389</v>
      </c>
      <c r="H5">
        <v>157</v>
      </c>
      <c r="I5">
        <v>297</v>
      </c>
      <c r="L5">
        <v>639</v>
      </c>
      <c r="O5">
        <v>142</v>
      </c>
    </row>
    <row r="6" spans="1:16" x14ac:dyDescent="0.25">
      <c r="A6" s="8">
        <v>105</v>
      </c>
      <c r="B6" t="s">
        <v>233</v>
      </c>
      <c r="C6">
        <v>123</v>
      </c>
      <c r="D6">
        <v>389</v>
      </c>
      <c r="H6">
        <v>145</v>
      </c>
      <c r="I6">
        <v>282</v>
      </c>
      <c r="L6">
        <v>607</v>
      </c>
      <c r="O6">
        <v>135</v>
      </c>
    </row>
    <row r="7" spans="1:16" x14ac:dyDescent="0.25">
      <c r="A7" s="8">
        <v>106</v>
      </c>
      <c r="B7" t="s">
        <v>234</v>
      </c>
      <c r="C7">
        <v>122</v>
      </c>
      <c r="D7">
        <v>455</v>
      </c>
      <c r="H7">
        <v>156</v>
      </c>
      <c r="I7">
        <v>280</v>
      </c>
      <c r="L7">
        <v>604</v>
      </c>
      <c r="O7">
        <v>135</v>
      </c>
    </row>
    <row r="8" spans="1:16" x14ac:dyDescent="0.25">
      <c r="A8" s="8">
        <v>107</v>
      </c>
      <c r="B8" t="s">
        <v>235</v>
      </c>
      <c r="C8">
        <v>55</v>
      </c>
      <c r="D8">
        <v>227</v>
      </c>
      <c r="H8">
        <v>69</v>
      </c>
      <c r="I8">
        <v>126</v>
      </c>
      <c r="L8">
        <v>273</v>
      </c>
      <c r="O8">
        <v>61</v>
      </c>
    </row>
    <row r="9" spans="1:16" x14ac:dyDescent="0.25">
      <c r="A9" s="8">
        <v>108</v>
      </c>
      <c r="B9" t="s">
        <v>238</v>
      </c>
      <c r="C9">
        <v>96</v>
      </c>
      <c r="D9">
        <v>341</v>
      </c>
      <c r="H9">
        <v>115</v>
      </c>
      <c r="I9">
        <v>220</v>
      </c>
      <c r="L9">
        <v>474</v>
      </c>
      <c r="O9">
        <v>106</v>
      </c>
    </row>
    <row r="10" spans="1:16" x14ac:dyDescent="0.25">
      <c r="A10" s="8">
        <v>109</v>
      </c>
      <c r="B10" t="s">
        <v>237</v>
      </c>
      <c r="C10">
        <v>123</v>
      </c>
      <c r="D10">
        <v>455</v>
      </c>
      <c r="H10">
        <v>150</v>
      </c>
      <c r="I10">
        <v>282</v>
      </c>
      <c r="L10">
        <v>607</v>
      </c>
      <c r="O10">
        <v>136</v>
      </c>
    </row>
    <row r="11" spans="1:16" x14ac:dyDescent="0.25">
      <c r="A11" s="8">
        <v>110</v>
      </c>
      <c r="B11" t="s">
        <v>236</v>
      </c>
      <c r="C11">
        <v>129</v>
      </c>
      <c r="D11">
        <v>521</v>
      </c>
      <c r="H11">
        <v>156</v>
      </c>
      <c r="I11">
        <v>295</v>
      </c>
      <c r="L11">
        <v>635</v>
      </c>
      <c r="O11">
        <v>141</v>
      </c>
    </row>
    <row r="12" spans="1:16" x14ac:dyDescent="0.25">
      <c r="A12" s="8">
        <v>111</v>
      </c>
      <c r="B12" t="s">
        <v>239</v>
      </c>
      <c r="C12">
        <v>58</v>
      </c>
      <c r="D12">
        <v>260</v>
      </c>
      <c r="H12">
        <v>69</v>
      </c>
      <c r="I12">
        <v>133</v>
      </c>
      <c r="L12">
        <v>287</v>
      </c>
      <c r="O12">
        <v>64</v>
      </c>
    </row>
    <row r="13" spans="1:16" x14ac:dyDescent="0.25">
      <c r="A13" s="8">
        <v>112</v>
      </c>
      <c r="B13" t="s">
        <v>241</v>
      </c>
      <c r="C13">
        <v>91</v>
      </c>
      <c r="D13">
        <v>391</v>
      </c>
      <c r="H13">
        <v>101</v>
      </c>
      <c r="I13">
        <v>209</v>
      </c>
      <c r="L13">
        <v>449</v>
      </c>
      <c r="O13">
        <v>100</v>
      </c>
    </row>
    <row r="14" spans="1:16" x14ac:dyDescent="0.25">
      <c r="A14">
        <v>113</v>
      </c>
      <c r="B14" t="s">
        <v>240</v>
      </c>
      <c r="C14" s="8">
        <v>86</v>
      </c>
      <c r="D14" s="8">
        <v>391</v>
      </c>
      <c r="E14" s="8"/>
      <c r="F14" s="8"/>
      <c r="G14" s="8"/>
      <c r="H14" s="8">
        <v>101</v>
      </c>
      <c r="I14" s="8">
        <v>197</v>
      </c>
      <c r="J14" s="8"/>
      <c r="K14" s="8"/>
      <c r="L14" s="8">
        <v>425</v>
      </c>
      <c r="M14" s="8"/>
      <c r="N14" s="8"/>
      <c r="O14" s="8">
        <v>95</v>
      </c>
      <c r="P14" s="8"/>
    </row>
    <row r="15" spans="1:16" x14ac:dyDescent="0.25">
      <c r="A15" s="8">
        <v>114</v>
      </c>
      <c r="B15" t="s">
        <v>242</v>
      </c>
      <c r="C15">
        <v>94</v>
      </c>
      <c r="D15">
        <v>440</v>
      </c>
      <c r="H15">
        <v>111</v>
      </c>
      <c r="I15">
        <v>215</v>
      </c>
      <c r="L15">
        <v>464</v>
      </c>
      <c r="O15">
        <v>104</v>
      </c>
    </row>
    <row r="16" spans="1:16" x14ac:dyDescent="0.25">
      <c r="A16" s="8">
        <v>115</v>
      </c>
      <c r="B16" t="s">
        <v>243</v>
      </c>
      <c r="C16">
        <v>60</v>
      </c>
      <c r="D16">
        <v>293</v>
      </c>
      <c r="H16">
        <v>70</v>
      </c>
      <c r="I16">
        <v>139</v>
      </c>
      <c r="L16">
        <v>299</v>
      </c>
      <c r="O16">
        <v>67</v>
      </c>
    </row>
    <row r="17" spans="1:15" x14ac:dyDescent="0.25">
      <c r="A17" s="8">
        <v>116</v>
      </c>
      <c r="B17" t="s">
        <v>244</v>
      </c>
      <c r="C17">
        <v>162</v>
      </c>
      <c r="D17">
        <v>733</v>
      </c>
      <c r="H17">
        <v>175</v>
      </c>
      <c r="I17">
        <v>371</v>
      </c>
      <c r="L17">
        <v>798</v>
      </c>
      <c r="O17">
        <v>179</v>
      </c>
    </row>
    <row r="18" spans="1:15" x14ac:dyDescent="0.25">
      <c r="A18" s="8">
        <v>117</v>
      </c>
      <c r="B18" t="s">
        <v>245</v>
      </c>
      <c r="C18">
        <v>202</v>
      </c>
      <c r="D18">
        <v>816</v>
      </c>
      <c r="H18">
        <v>187</v>
      </c>
      <c r="I18">
        <v>463</v>
      </c>
      <c r="L18">
        <v>997</v>
      </c>
      <c r="O18">
        <v>222</v>
      </c>
    </row>
    <row r="19" spans="1:15" x14ac:dyDescent="0.25">
      <c r="A19" s="8">
        <v>118</v>
      </c>
      <c r="B19" t="s">
        <v>246</v>
      </c>
      <c r="C19">
        <v>294</v>
      </c>
      <c r="D19">
        <v>1020</v>
      </c>
      <c r="H19">
        <v>282</v>
      </c>
      <c r="I19">
        <v>672</v>
      </c>
      <c r="L19">
        <v>1446</v>
      </c>
      <c r="O19">
        <v>323</v>
      </c>
    </row>
    <row r="20" spans="1:15" x14ac:dyDescent="0.25">
      <c r="A20" s="8">
        <v>119</v>
      </c>
      <c r="B20" t="s">
        <v>247</v>
      </c>
      <c r="C20">
        <v>81</v>
      </c>
      <c r="E20">
        <v>337</v>
      </c>
      <c r="H20">
        <v>101</v>
      </c>
      <c r="I20">
        <v>184</v>
      </c>
      <c r="M20">
        <v>429</v>
      </c>
      <c r="O20">
        <v>89</v>
      </c>
    </row>
    <row r="21" spans="1:15" x14ac:dyDescent="0.25">
      <c r="A21" s="8">
        <v>120</v>
      </c>
      <c r="B21" t="s">
        <v>397</v>
      </c>
      <c r="C21">
        <v>115</v>
      </c>
      <c r="E21">
        <v>449</v>
      </c>
      <c r="H21">
        <v>149</v>
      </c>
      <c r="I21">
        <v>264</v>
      </c>
      <c r="M21">
        <v>614</v>
      </c>
      <c r="O21">
        <v>127</v>
      </c>
    </row>
    <row r="22" spans="1:15" x14ac:dyDescent="0.25">
      <c r="A22" s="8">
        <v>121</v>
      </c>
      <c r="B22" t="s">
        <v>398</v>
      </c>
      <c r="C22">
        <v>112</v>
      </c>
      <c r="E22">
        <v>449</v>
      </c>
      <c r="H22">
        <v>148</v>
      </c>
      <c r="I22">
        <v>257</v>
      </c>
      <c r="M22">
        <v>596</v>
      </c>
      <c r="O22">
        <v>123</v>
      </c>
    </row>
    <row r="23" spans="1:15" x14ac:dyDescent="0.25">
      <c r="A23" s="8">
        <v>122</v>
      </c>
      <c r="B23" t="s">
        <v>399</v>
      </c>
      <c r="C23">
        <v>83</v>
      </c>
      <c r="E23">
        <v>394</v>
      </c>
      <c r="H23">
        <v>100</v>
      </c>
      <c r="I23">
        <v>191</v>
      </c>
      <c r="M23">
        <v>442</v>
      </c>
      <c r="O23">
        <v>92</v>
      </c>
    </row>
    <row r="24" spans="1:15" x14ac:dyDescent="0.25">
      <c r="A24" s="8">
        <v>123</v>
      </c>
      <c r="B24" t="s">
        <v>400</v>
      </c>
      <c r="C24">
        <v>118</v>
      </c>
      <c r="E24">
        <v>526</v>
      </c>
      <c r="H24">
        <v>149</v>
      </c>
      <c r="I24">
        <v>271</v>
      </c>
      <c r="M24">
        <v>630</v>
      </c>
      <c r="O24">
        <v>130</v>
      </c>
    </row>
    <row r="25" spans="1:15" x14ac:dyDescent="0.25">
      <c r="A25" s="8">
        <v>124</v>
      </c>
      <c r="B25" t="s">
        <v>401</v>
      </c>
      <c r="C25">
        <v>117</v>
      </c>
      <c r="E25">
        <v>526</v>
      </c>
      <c r="H25">
        <v>148</v>
      </c>
      <c r="I25">
        <v>269</v>
      </c>
      <c r="M25">
        <v>625</v>
      </c>
      <c r="O25">
        <v>129</v>
      </c>
    </row>
    <row r="26" spans="1:15" x14ac:dyDescent="0.25">
      <c r="A26" s="8">
        <v>125</v>
      </c>
      <c r="B26" t="s">
        <v>402</v>
      </c>
      <c r="C26">
        <v>87</v>
      </c>
      <c r="E26">
        <v>451</v>
      </c>
      <c r="H26">
        <v>100</v>
      </c>
      <c r="I26">
        <v>200</v>
      </c>
      <c r="M26">
        <v>465</v>
      </c>
      <c r="O26">
        <v>96</v>
      </c>
    </row>
    <row r="27" spans="1:15" x14ac:dyDescent="0.25">
      <c r="A27" s="8">
        <v>126</v>
      </c>
      <c r="B27" t="s">
        <v>403</v>
      </c>
      <c r="C27">
        <v>125</v>
      </c>
      <c r="E27">
        <v>602</v>
      </c>
      <c r="H27">
        <v>149</v>
      </c>
      <c r="I27">
        <v>285</v>
      </c>
      <c r="M27">
        <v>662</v>
      </c>
      <c r="O27">
        <v>138</v>
      </c>
    </row>
    <row r="28" spans="1:15" x14ac:dyDescent="0.25">
      <c r="A28" s="8">
        <v>127</v>
      </c>
      <c r="B28" t="s">
        <v>404</v>
      </c>
      <c r="C28">
        <v>123</v>
      </c>
      <c r="E28">
        <v>602</v>
      </c>
      <c r="H28">
        <v>148</v>
      </c>
      <c r="I28">
        <v>282</v>
      </c>
      <c r="M28">
        <v>656</v>
      </c>
      <c r="O28">
        <v>136</v>
      </c>
    </row>
    <row r="29" spans="1:15" x14ac:dyDescent="0.25">
      <c r="A29" s="8">
        <v>128</v>
      </c>
      <c r="B29" t="s">
        <v>405</v>
      </c>
      <c r="C29">
        <v>88</v>
      </c>
      <c r="E29">
        <v>509</v>
      </c>
      <c r="H29">
        <v>100</v>
      </c>
      <c r="I29">
        <v>202</v>
      </c>
      <c r="M29">
        <v>471</v>
      </c>
      <c r="O29">
        <v>98</v>
      </c>
    </row>
    <row r="30" spans="1:15" x14ac:dyDescent="0.25">
      <c r="A30" s="8">
        <v>129</v>
      </c>
      <c r="B30" t="s">
        <v>407</v>
      </c>
      <c r="C30">
        <v>127</v>
      </c>
      <c r="E30">
        <v>678</v>
      </c>
      <c r="H30">
        <v>148</v>
      </c>
      <c r="I30">
        <v>291</v>
      </c>
      <c r="M30">
        <v>678</v>
      </c>
      <c r="O30">
        <v>141</v>
      </c>
    </row>
    <row r="31" spans="1:15" x14ac:dyDescent="0.25">
      <c r="A31" s="8">
        <v>130</v>
      </c>
      <c r="B31" t="s">
        <v>406</v>
      </c>
      <c r="C31">
        <v>127</v>
      </c>
      <c r="E31">
        <v>678</v>
      </c>
      <c r="H31">
        <v>148</v>
      </c>
      <c r="I31">
        <v>290</v>
      </c>
      <c r="M31">
        <v>675</v>
      </c>
      <c r="O31">
        <v>140</v>
      </c>
    </row>
    <row r="32" spans="1:15" x14ac:dyDescent="0.25">
      <c r="A32" s="8">
        <v>132</v>
      </c>
      <c r="B32" t="s">
        <v>408</v>
      </c>
      <c r="C32">
        <v>172</v>
      </c>
      <c r="E32">
        <v>943</v>
      </c>
      <c r="H32">
        <v>189</v>
      </c>
      <c r="I32">
        <v>395</v>
      </c>
      <c r="M32">
        <v>917</v>
      </c>
      <c r="O32">
        <v>190</v>
      </c>
    </row>
    <row r="33" spans="1:15" x14ac:dyDescent="0.25">
      <c r="A33" s="8">
        <v>133</v>
      </c>
      <c r="B33" t="s">
        <v>248</v>
      </c>
      <c r="C33">
        <v>218</v>
      </c>
      <c r="E33">
        <v>1179</v>
      </c>
      <c r="H33">
        <v>278</v>
      </c>
      <c r="I33">
        <v>499</v>
      </c>
      <c r="M33">
        <v>1158</v>
      </c>
      <c r="O33">
        <v>239</v>
      </c>
    </row>
    <row r="34" spans="1:15" x14ac:dyDescent="0.25">
      <c r="A34" s="8">
        <v>134</v>
      </c>
      <c r="B34" t="s">
        <v>249</v>
      </c>
      <c r="C34">
        <v>102</v>
      </c>
      <c r="E34">
        <v>566</v>
      </c>
      <c r="H34">
        <v>98</v>
      </c>
      <c r="I34">
        <v>232</v>
      </c>
      <c r="M34">
        <v>541</v>
      </c>
      <c r="O34">
        <v>112</v>
      </c>
    </row>
    <row r="35" spans="1:15" x14ac:dyDescent="0.25">
      <c r="A35" s="8">
        <v>135</v>
      </c>
      <c r="B35" t="s">
        <v>250</v>
      </c>
      <c r="C35">
        <v>83</v>
      </c>
      <c r="E35">
        <v>566</v>
      </c>
      <c r="H35">
        <v>87</v>
      </c>
      <c r="I35">
        <v>189</v>
      </c>
      <c r="M35">
        <v>441</v>
      </c>
      <c r="O35">
        <v>92</v>
      </c>
    </row>
    <row r="36" spans="1:15" x14ac:dyDescent="0.25">
      <c r="A36" s="8">
        <v>201</v>
      </c>
      <c r="B36" t="s">
        <v>255</v>
      </c>
      <c r="C36">
        <v>401</v>
      </c>
      <c r="J36">
        <v>1210</v>
      </c>
    </row>
    <row r="37" spans="1:15" x14ac:dyDescent="0.25">
      <c r="A37" s="8">
        <v>202</v>
      </c>
      <c r="B37" t="s">
        <v>271</v>
      </c>
      <c r="C37">
        <v>114</v>
      </c>
      <c r="F37">
        <v>286</v>
      </c>
      <c r="H37">
        <v>153</v>
      </c>
      <c r="J37">
        <v>344</v>
      </c>
      <c r="N37">
        <v>392</v>
      </c>
      <c r="O37">
        <v>125</v>
      </c>
    </row>
    <row r="38" spans="1:15" x14ac:dyDescent="0.25">
      <c r="A38" s="8">
        <v>203</v>
      </c>
      <c r="B38" t="s">
        <v>272</v>
      </c>
      <c r="C38">
        <v>84</v>
      </c>
      <c r="F38">
        <v>214</v>
      </c>
      <c r="H38">
        <v>106</v>
      </c>
      <c r="J38">
        <v>255</v>
      </c>
      <c r="N38">
        <v>290</v>
      </c>
      <c r="O38">
        <v>93</v>
      </c>
    </row>
    <row r="39" spans="1:15" x14ac:dyDescent="0.25">
      <c r="A39" s="8">
        <v>204</v>
      </c>
      <c r="B39" t="s">
        <v>273</v>
      </c>
      <c r="C39">
        <v>81</v>
      </c>
      <c r="F39">
        <v>214</v>
      </c>
      <c r="H39">
        <v>105</v>
      </c>
      <c r="J39">
        <v>246</v>
      </c>
      <c r="N39">
        <v>279</v>
      </c>
      <c r="O39">
        <v>89</v>
      </c>
    </row>
    <row r="40" spans="1:15" x14ac:dyDescent="0.25">
      <c r="A40" s="8">
        <v>205</v>
      </c>
      <c r="B40" t="s">
        <v>274</v>
      </c>
      <c r="C40">
        <v>118</v>
      </c>
      <c r="F40">
        <v>286</v>
      </c>
      <c r="H40">
        <v>156</v>
      </c>
      <c r="J40">
        <v>356</v>
      </c>
      <c r="N40">
        <v>405</v>
      </c>
      <c r="O40">
        <v>130</v>
      </c>
    </row>
    <row r="41" spans="1:15" x14ac:dyDescent="0.25">
      <c r="A41" s="8">
        <v>206</v>
      </c>
      <c r="B41" t="s">
        <v>275</v>
      </c>
      <c r="C41">
        <v>120</v>
      </c>
      <c r="F41">
        <v>335</v>
      </c>
      <c r="H41">
        <v>153</v>
      </c>
      <c r="J41">
        <v>363</v>
      </c>
      <c r="N41">
        <v>413</v>
      </c>
      <c r="O41">
        <v>133</v>
      </c>
    </row>
    <row r="42" spans="1:15" x14ac:dyDescent="0.25">
      <c r="A42" s="8">
        <v>207</v>
      </c>
      <c r="B42" t="s">
        <v>276</v>
      </c>
      <c r="C42">
        <v>89</v>
      </c>
      <c r="F42">
        <v>251</v>
      </c>
      <c r="H42">
        <v>106</v>
      </c>
      <c r="J42">
        <v>269</v>
      </c>
      <c r="N42">
        <v>306</v>
      </c>
      <c r="O42">
        <v>99</v>
      </c>
    </row>
    <row r="43" spans="1:15" x14ac:dyDescent="0.25">
      <c r="A43" s="8">
        <v>208</v>
      </c>
      <c r="B43" t="s">
        <v>277</v>
      </c>
      <c r="C43">
        <v>84</v>
      </c>
      <c r="F43">
        <v>251</v>
      </c>
      <c r="H43">
        <v>105</v>
      </c>
      <c r="J43">
        <v>254</v>
      </c>
      <c r="N43">
        <v>290</v>
      </c>
      <c r="O43">
        <v>93</v>
      </c>
    </row>
    <row r="44" spans="1:15" x14ac:dyDescent="0.25">
      <c r="A44" s="8">
        <v>209</v>
      </c>
      <c r="B44" t="s">
        <v>278</v>
      </c>
      <c r="C44">
        <v>124</v>
      </c>
      <c r="F44">
        <v>335</v>
      </c>
      <c r="H44">
        <v>156</v>
      </c>
      <c r="J44">
        <v>376</v>
      </c>
      <c r="N44">
        <v>427</v>
      </c>
      <c r="O44">
        <v>136</v>
      </c>
    </row>
    <row r="45" spans="1:15" x14ac:dyDescent="0.25">
      <c r="A45" s="8">
        <v>210</v>
      </c>
      <c r="B45" t="s">
        <v>279</v>
      </c>
      <c r="C45">
        <v>126</v>
      </c>
      <c r="F45">
        <v>385</v>
      </c>
      <c r="H45">
        <v>153</v>
      </c>
      <c r="J45">
        <v>381</v>
      </c>
      <c r="N45">
        <v>434</v>
      </c>
      <c r="O45">
        <v>139</v>
      </c>
    </row>
    <row r="46" spans="1:15" x14ac:dyDescent="0.25">
      <c r="A46" s="8">
        <v>211</v>
      </c>
      <c r="B46" t="s">
        <v>280</v>
      </c>
      <c r="C46">
        <v>91</v>
      </c>
      <c r="F46">
        <v>289</v>
      </c>
      <c r="H46">
        <v>106</v>
      </c>
      <c r="J46">
        <v>275</v>
      </c>
      <c r="N46">
        <v>313</v>
      </c>
      <c r="O46">
        <v>100</v>
      </c>
    </row>
    <row r="47" spans="1:15" x14ac:dyDescent="0.25">
      <c r="A47" s="8">
        <v>212</v>
      </c>
      <c r="B47" t="s">
        <v>282</v>
      </c>
      <c r="C47">
        <v>88</v>
      </c>
      <c r="F47">
        <v>289</v>
      </c>
      <c r="H47">
        <v>105</v>
      </c>
      <c r="J47">
        <v>267</v>
      </c>
      <c r="N47">
        <v>304</v>
      </c>
      <c r="O47">
        <v>97</v>
      </c>
    </row>
    <row r="48" spans="1:15" x14ac:dyDescent="0.25">
      <c r="A48" s="8">
        <v>213</v>
      </c>
      <c r="B48" t="s">
        <v>281</v>
      </c>
      <c r="C48">
        <v>131</v>
      </c>
      <c r="F48">
        <v>385</v>
      </c>
      <c r="H48">
        <v>156</v>
      </c>
      <c r="J48">
        <v>394</v>
      </c>
      <c r="N48">
        <v>449</v>
      </c>
      <c r="O48">
        <v>144</v>
      </c>
    </row>
    <row r="49" spans="1:16" x14ac:dyDescent="0.25">
      <c r="A49" s="8">
        <v>214</v>
      </c>
      <c r="B49" t="s">
        <v>283</v>
      </c>
      <c r="C49">
        <v>130</v>
      </c>
      <c r="F49">
        <v>434</v>
      </c>
      <c r="H49">
        <v>153</v>
      </c>
      <c r="J49">
        <v>392</v>
      </c>
      <c r="N49">
        <v>446</v>
      </c>
      <c r="O49">
        <v>143</v>
      </c>
    </row>
    <row r="50" spans="1:16" x14ac:dyDescent="0.25">
      <c r="A50" s="8">
        <v>215</v>
      </c>
      <c r="B50" t="s">
        <v>284</v>
      </c>
      <c r="C50">
        <v>93</v>
      </c>
      <c r="F50">
        <v>325</v>
      </c>
      <c r="H50">
        <v>106</v>
      </c>
      <c r="J50">
        <v>281</v>
      </c>
      <c r="N50">
        <v>319</v>
      </c>
      <c r="O50">
        <v>103</v>
      </c>
    </row>
    <row r="51" spans="1:16" x14ac:dyDescent="0.25">
      <c r="A51" s="8">
        <v>216</v>
      </c>
      <c r="B51" t="s">
        <v>285</v>
      </c>
      <c r="C51">
        <v>59</v>
      </c>
      <c r="F51">
        <v>217</v>
      </c>
      <c r="H51">
        <v>69</v>
      </c>
      <c r="J51">
        <v>180</v>
      </c>
      <c r="N51">
        <v>205</v>
      </c>
      <c r="O51">
        <v>66</v>
      </c>
    </row>
    <row r="52" spans="1:16" x14ac:dyDescent="0.25">
      <c r="A52" s="8">
        <v>217</v>
      </c>
      <c r="B52" t="s">
        <v>286</v>
      </c>
      <c r="C52">
        <v>166</v>
      </c>
      <c r="F52">
        <v>542</v>
      </c>
      <c r="H52">
        <v>194</v>
      </c>
      <c r="J52">
        <v>501</v>
      </c>
      <c r="N52">
        <v>570</v>
      </c>
      <c r="O52">
        <v>183</v>
      </c>
    </row>
    <row r="53" spans="1:16" x14ac:dyDescent="0.25">
      <c r="A53" s="8">
        <v>218</v>
      </c>
      <c r="B53" t="s">
        <v>287</v>
      </c>
      <c r="C53">
        <v>186</v>
      </c>
      <c r="F53">
        <v>603</v>
      </c>
      <c r="H53">
        <v>201</v>
      </c>
      <c r="J53">
        <v>561</v>
      </c>
      <c r="N53">
        <v>638</v>
      </c>
      <c r="O53">
        <v>204</v>
      </c>
    </row>
    <row r="54" spans="1:16" x14ac:dyDescent="0.25">
      <c r="A54" s="8">
        <v>219</v>
      </c>
      <c r="B54" t="s">
        <v>288</v>
      </c>
      <c r="C54">
        <v>61</v>
      </c>
      <c r="F54">
        <v>241</v>
      </c>
      <c r="H54">
        <v>69</v>
      </c>
      <c r="J54">
        <v>185</v>
      </c>
      <c r="N54">
        <v>210</v>
      </c>
      <c r="O54">
        <v>68</v>
      </c>
    </row>
    <row r="55" spans="1:16" x14ac:dyDescent="0.25">
      <c r="A55" s="8">
        <v>220</v>
      </c>
      <c r="B55" t="s">
        <v>289</v>
      </c>
      <c r="C55">
        <v>171</v>
      </c>
      <c r="F55">
        <v>603</v>
      </c>
      <c r="H55">
        <v>194</v>
      </c>
      <c r="J55">
        <v>515</v>
      </c>
      <c r="N55">
        <v>586</v>
      </c>
      <c r="O55">
        <v>188</v>
      </c>
    </row>
    <row r="56" spans="1:16" x14ac:dyDescent="0.25">
      <c r="A56" s="8">
        <v>221</v>
      </c>
      <c r="B56" t="s">
        <v>290</v>
      </c>
      <c r="C56">
        <v>178</v>
      </c>
      <c r="F56">
        <v>628</v>
      </c>
      <c r="H56">
        <v>201</v>
      </c>
      <c r="J56">
        <v>538</v>
      </c>
      <c r="N56">
        <v>612</v>
      </c>
      <c r="O56">
        <v>195</v>
      </c>
    </row>
    <row r="57" spans="1:16" x14ac:dyDescent="0.25">
      <c r="A57" s="8">
        <v>222</v>
      </c>
      <c r="B57" t="s">
        <v>267</v>
      </c>
      <c r="C57">
        <v>62</v>
      </c>
      <c r="F57">
        <v>251</v>
      </c>
      <c r="H57">
        <v>69</v>
      </c>
      <c r="J57">
        <v>189</v>
      </c>
      <c r="N57">
        <v>214</v>
      </c>
      <c r="O57">
        <v>69</v>
      </c>
    </row>
    <row r="58" spans="1:16" x14ac:dyDescent="0.25">
      <c r="A58" s="8">
        <v>223</v>
      </c>
      <c r="B58" t="s">
        <v>268</v>
      </c>
      <c r="C58">
        <v>174</v>
      </c>
      <c r="F58">
        <v>628</v>
      </c>
      <c r="H58">
        <v>194</v>
      </c>
      <c r="J58">
        <v>525</v>
      </c>
      <c r="N58">
        <v>596</v>
      </c>
      <c r="O58">
        <v>191</v>
      </c>
    </row>
    <row r="59" spans="1:16" x14ac:dyDescent="0.25">
      <c r="A59" s="8">
        <v>224</v>
      </c>
      <c r="B59" t="s">
        <v>269</v>
      </c>
      <c r="C59">
        <v>181</v>
      </c>
      <c r="F59">
        <v>646</v>
      </c>
      <c r="H59">
        <v>201</v>
      </c>
      <c r="J59">
        <v>547</v>
      </c>
      <c r="N59">
        <v>623</v>
      </c>
      <c r="O59">
        <v>199</v>
      </c>
    </row>
    <row r="60" spans="1:16" x14ac:dyDescent="0.25">
      <c r="A60">
        <v>225</v>
      </c>
      <c r="B60" t="s">
        <v>270</v>
      </c>
      <c r="C60" s="8">
        <v>197</v>
      </c>
      <c r="D60" s="8"/>
      <c r="E60" s="8"/>
      <c r="F60" s="8">
        <v>646</v>
      </c>
      <c r="G60" s="8"/>
      <c r="H60" s="8">
        <v>198</v>
      </c>
      <c r="I60" s="8"/>
      <c r="J60" s="8">
        <v>596</v>
      </c>
      <c r="K60" s="8"/>
      <c r="L60" s="8"/>
      <c r="M60" s="8"/>
      <c r="N60" s="8">
        <v>679</v>
      </c>
      <c r="O60" s="8">
        <v>217</v>
      </c>
      <c r="P60" s="8"/>
    </row>
    <row r="61" spans="1:16" x14ac:dyDescent="0.25">
      <c r="A61" s="8">
        <v>301</v>
      </c>
      <c r="B61" t="s">
        <v>265</v>
      </c>
      <c r="C61">
        <v>169</v>
      </c>
      <c r="H61">
        <v>255</v>
      </c>
      <c r="K61">
        <v>1031</v>
      </c>
      <c r="O61">
        <v>186</v>
      </c>
    </row>
    <row r="62" spans="1:16" x14ac:dyDescent="0.25">
      <c r="A62" s="8">
        <v>302</v>
      </c>
      <c r="B62" t="s">
        <v>266</v>
      </c>
      <c r="C62">
        <v>158</v>
      </c>
      <c r="H62">
        <v>223</v>
      </c>
      <c r="K62">
        <v>958</v>
      </c>
      <c r="O62">
        <v>175</v>
      </c>
    </row>
    <row r="63" spans="1:16" x14ac:dyDescent="0.25">
      <c r="A63" s="8">
        <v>303</v>
      </c>
      <c r="B63" t="s">
        <v>264</v>
      </c>
      <c r="C63">
        <v>71</v>
      </c>
      <c r="H63">
        <v>96</v>
      </c>
      <c r="K63">
        <v>429</v>
      </c>
      <c r="O63">
        <v>78</v>
      </c>
    </row>
    <row r="64" spans="1:16" x14ac:dyDescent="0.25">
      <c r="A64" s="8">
        <v>305</v>
      </c>
      <c r="B64" t="s">
        <v>263</v>
      </c>
      <c r="C64">
        <v>134</v>
      </c>
      <c r="G64">
        <v>1076</v>
      </c>
      <c r="H64">
        <v>182</v>
      </c>
      <c r="K64">
        <v>839</v>
      </c>
      <c r="O64">
        <v>147</v>
      </c>
    </row>
    <row r="65" spans="1:16" x14ac:dyDescent="0.25">
      <c r="A65" s="8">
        <v>306</v>
      </c>
      <c r="B65" t="s">
        <v>262</v>
      </c>
      <c r="C65">
        <v>147</v>
      </c>
      <c r="G65">
        <v>1076</v>
      </c>
      <c r="H65">
        <v>181</v>
      </c>
      <c r="K65">
        <v>924</v>
      </c>
      <c r="O65">
        <v>163</v>
      </c>
    </row>
    <row r="66" spans="1:16" x14ac:dyDescent="0.25">
      <c r="A66" s="8">
        <v>307</v>
      </c>
      <c r="B66" t="s">
        <v>261</v>
      </c>
      <c r="C66">
        <v>155</v>
      </c>
      <c r="G66">
        <v>1258</v>
      </c>
      <c r="H66">
        <v>194</v>
      </c>
      <c r="K66">
        <v>971</v>
      </c>
      <c r="O66">
        <v>170</v>
      </c>
    </row>
    <row r="67" spans="1:16" x14ac:dyDescent="0.25">
      <c r="A67">
        <v>308</v>
      </c>
      <c r="B67" t="s">
        <v>260</v>
      </c>
      <c r="C67" s="8">
        <v>75</v>
      </c>
      <c r="D67" s="8"/>
      <c r="E67" s="8"/>
      <c r="F67" s="8"/>
      <c r="G67" s="8">
        <v>755</v>
      </c>
      <c r="H67" s="8">
        <v>93</v>
      </c>
      <c r="I67" s="8"/>
      <c r="J67" s="8"/>
      <c r="K67" s="8">
        <v>469</v>
      </c>
      <c r="L67" s="8"/>
      <c r="M67" s="8"/>
      <c r="N67" s="8"/>
      <c r="O67" s="8">
        <v>82</v>
      </c>
      <c r="P67" s="8"/>
    </row>
    <row r="68" spans="1:16" x14ac:dyDescent="0.25">
      <c r="A68" s="8">
        <v>310</v>
      </c>
      <c r="B68" t="s">
        <v>259</v>
      </c>
      <c r="C68">
        <v>52</v>
      </c>
      <c r="G68">
        <v>577</v>
      </c>
      <c r="H68">
        <v>64</v>
      </c>
      <c r="K68">
        <v>330</v>
      </c>
      <c r="O68">
        <v>58</v>
      </c>
    </row>
    <row r="69" spans="1:16" x14ac:dyDescent="0.25">
      <c r="A69" s="8">
        <v>311</v>
      </c>
      <c r="B69" t="s">
        <v>258</v>
      </c>
      <c r="C69">
        <v>193</v>
      </c>
      <c r="G69">
        <v>1729</v>
      </c>
      <c r="H69">
        <v>222</v>
      </c>
      <c r="K69">
        <v>1210</v>
      </c>
      <c r="O69">
        <v>212</v>
      </c>
    </row>
    <row r="70" spans="1:16" x14ac:dyDescent="0.25">
      <c r="A70" s="8">
        <v>312</v>
      </c>
      <c r="B70" t="s">
        <v>257</v>
      </c>
      <c r="C70">
        <v>133</v>
      </c>
      <c r="G70">
        <v>1153</v>
      </c>
      <c r="H70">
        <v>148</v>
      </c>
      <c r="K70">
        <v>834</v>
      </c>
      <c r="O70">
        <v>147</v>
      </c>
    </row>
    <row r="71" spans="1:16" x14ac:dyDescent="0.25">
      <c r="A71" s="8">
        <v>313</v>
      </c>
      <c r="B71" t="s">
        <v>251</v>
      </c>
      <c r="C71">
        <v>72</v>
      </c>
      <c r="H71">
        <v>97</v>
      </c>
      <c r="K71">
        <v>434</v>
      </c>
      <c r="O71">
        <v>79</v>
      </c>
    </row>
    <row r="72" spans="1:16" x14ac:dyDescent="0.25">
      <c r="A72" s="8">
        <v>314</v>
      </c>
      <c r="B72" t="s">
        <v>252</v>
      </c>
      <c r="C72">
        <v>79</v>
      </c>
      <c r="H72">
        <v>105</v>
      </c>
      <c r="K72">
        <v>477</v>
      </c>
      <c r="O72">
        <v>87</v>
      </c>
    </row>
    <row r="73" spans="1:16" x14ac:dyDescent="0.25">
      <c r="A73" s="8">
        <v>315</v>
      </c>
      <c r="B73" t="s">
        <v>253</v>
      </c>
      <c r="C73">
        <v>85</v>
      </c>
      <c r="G73">
        <v>755</v>
      </c>
      <c r="H73">
        <v>96</v>
      </c>
      <c r="K73">
        <v>531</v>
      </c>
      <c r="O73">
        <v>93</v>
      </c>
    </row>
    <row r="74" spans="1:16" x14ac:dyDescent="0.25">
      <c r="A74" s="8">
        <v>316</v>
      </c>
      <c r="B74" t="s">
        <v>254</v>
      </c>
      <c r="C74">
        <v>90</v>
      </c>
      <c r="G74">
        <v>755</v>
      </c>
      <c r="H74">
        <v>87</v>
      </c>
      <c r="K74">
        <v>563</v>
      </c>
      <c r="O74">
        <v>99</v>
      </c>
    </row>
    <row r="75" spans="1:16" x14ac:dyDescent="0.25">
      <c r="A75" s="8">
        <v>401</v>
      </c>
      <c r="B75" t="s">
        <v>303</v>
      </c>
      <c r="C75">
        <v>7</v>
      </c>
      <c r="E75">
        <v>45</v>
      </c>
      <c r="O75">
        <v>7</v>
      </c>
      <c r="P75" s="8">
        <v>1</v>
      </c>
    </row>
    <row r="76" spans="1:16" x14ac:dyDescent="0.25">
      <c r="A76" s="8">
        <v>402</v>
      </c>
      <c r="B76" t="s">
        <v>304</v>
      </c>
      <c r="C76">
        <v>7</v>
      </c>
      <c r="E76">
        <v>45</v>
      </c>
      <c r="O76">
        <v>7</v>
      </c>
      <c r="P76" s="8">
        <v>1</v>
      </c>
    </row>
    <row r="77" spans="1:16" x14ac:dyDescent="0.25">
      <c r="A77" s="8">
        <v>403</v>
      </c>
      <c r="B77" t="s">
        <v>305</v>
      </c>
      <c r="C77">
        <v>7</v>
      </c>
      <c r="D77">
        <v>39</v>
      </c>
      <c r="O77">
        <v>7</v>
      </c>
      <c r="P77" s="8">
        <v>1</v>
      </c>
    </row>
    <row r="78" spans="1:16" x14ac:dyDescent="0.25">
      <c r="A78" s="8">
        <v>404</v>
      </c>
      <c r="B78" t="s">
        <v>306</v>
      </c>
      <c r="C78">
        <v>7</v>
      </c>
      <c r="D78">
        <v>39</v>
      </c>
      <c r="O78">
        <v>7</v>
      </c>
      <c r="P78" s="8">
        <v>1</v>
      </c>
    </row>
    <row r="79" spans="1:16" x14ac:dyDescent="0.25">
      <c r="A79" s="8">
        <v>405</v>
      </c>
      <c r="B79" t="s">
        <v>307</v>
      </c>
      <c r="C79">
        <v>7</v>
      </c>
      <c r="D79">
        <v>39</v>
      </c>
      <c r="O79">
        <v>7</v>
      </c>
      <c r="P79" s="8">
        <v>1</v>
      </c>
    </row>
    <row r="80" spans="1:16" x14ac:dyDescent="0.25">
      <c r="A80" s="8">
        <v>406</v>
      </c>
      <c r="B80" t="s">
        <v>308</v>
      </c>
      <c r="C80">
        <v>7</v>
      </c>
      <c r="D80">
        <v>39</v>
      </c>
      <c r="O80">
        <v>7</v>
      </c>
      <c r="P80" s="8">
        <v>1</v>
      </c>
    </row>
    <row r="81" spans="1:16" x14ac:dyDescent="0.25">
      <c r="A81" s="8">
        <v>407</v>
      </c>
      <c r="B81" t="s">
        <v>309</v>
      </c>
      <c r="C81">
        <v>7</v>
      </c>
      <c r="E81">
        <v>45</v>
      </c>
      <c r="O81">
        <v>7</v>
      </c>
      <c r="P81" s="8">
        <v>1</v>
      </c>
    </row>
    <row r="82" spans="1:16" x14ac:dyDescent="0.25">
      <c r="A82" s="8">
        <v>408</v>
      </c>
      <c r="B82" t="s">
        <v>310</v>
      </c>
      <c r="C82">
        <v>7</v>
      </c>
      <c r="D82">
        <v>39</v>
      </c>
      <c r="O82">
        <v>7</v>
      </c>
      <c r="P82" s="8">
        <v>1</v>
      </c>
    </row>
    <row r="83" spans="1:16" x14ac:dyDescent="0.25">
      <c r="A83" s="8">
        <v>409</v>
      </c>
      <c r="B83" t="s">
        <v>311</v>
      </c>
      <c r="C83">
        <v>7</v>
      </c>
      <c r="E83">
        <v>45</v>
      </c>
      <c r="O83">
        <v>7</v>
      </c>
      <c r="P83" s="8">
        <v>1</v>
      </c>
    </row>
    <row r="84" spans="1:16" x14ac:dyDescent="0.25">
      <c r="A84" s="8">
        <v>410</v>
      </c>
      <c r="B84" t="s">
        <v>312</v>
      </c>
      <c r="C84">
        <v>7</v>
      </c>
      <c r="E84">
        <v>45</v>
      </c>
      <c r="O84">
        <v>7</v>
      </c>
      <c r="P84" s="8">
        <v>1</v>
      </c>
    </row>
    <row r="85" spans="1:16" x14ac:dyDescent="0.25">
      <c r="A85" s="8">
        <v>411</v>
      </c>
      <c r="B85" t="s">
        <v>313</v>
      </c>
      <c r="C85">
        <v>7</v>
      </c>
      <c r="E85">
        <v>45</v>
      </c>
      <c r="O85">
        <v>7</v>
      </c>
      <c r="P85" s="8">
        <v>1</v>
      </c>
    </row>
    <row r="86" spans="1:16" x14ac:dyDescent="0.25">
      <c r="A86" s="8">
        <v>412</v>
      </c>
      <c r="B86" t="s">
        <v>291</v>
      </c>
      <c r="C86">
        <v>7</v>
      </c>
      <c r="E86">
        <v>45</v>
      </c>
      <c r="O86">
        <v>7</v>
      </c>
      <c r="P86" s="8">
        <v>1</v>
      </c>
    </row>
    <row r="87" spans="1:16" x14ac:dyDescent="0.25">
      <c r="A87" s="8">
        <v>413</v>
      </c>
      <c r="B87" t="s">
        <v>314</v>
      </c>
      <c r="C87">
        <v>7</v>
      </c>
      <c r="E87">
        <v>45</v>
      </c>
      <c r="O87">
        <v>7</v>
      </c>
      <c r="P87" s="8">
        <v>1</v>
      </c>
    </row>
    <row r="88" spans="1:16" x14ac:dyDescent="0.25">
      <c r="A88" s="8">
        <v>414</v>
      </c>
      <c r="B88" t="s">
        <v>315</v>
      </c>
      <c r="C88">
        <v>7</v>
      </c>
      <c r="E88">
        <v>45</v>
      </c>
      <c r="O88">
        <v>7</v>
      </c>
      <c r="P88" s="8">
        <v>1</v>
      </c>
    </row>
    <row r="89" spans="1:16" x14ac:dyDescent="0.25">
      <c r="A89" s="8">
        <v>415</v>
      </c>
      <c r="B89" t="s">
        <v>316</v>
      </c>
      <c r="C89">
        <v>7</v>
      </c>
      <c r="E89">
        <v>45</v>
      </c>
      <c r="O89">
        <v>7</v>
      </c>
      <c r="P89" s="8">
        <v>1</v>
      </c>
    </row>
    <row r="90" spans="1:16" x14ac:dyDescent="0.25">
      <c r="A90" s="8">
        <v>416</v>
      </c>
      <c r="B90" t="s">
        <v>317</v>
      </c>
      <c r="C90">
        <v>7</v>
      </c>
      <c r="E90">
        <v>45</v>
      </c>
      <c r="O90">
        <v>7</v>
      </c>
      <c r="P90" s="8">
        <v>1</v>
      </c>
    </row>
    <row r="91" spans="1:16" x14ac:dyDescent="0.25">
      <c r="A91" s="8">
        <v>417</v>
      </c>
      <c r="B91" t="s">
        <v>318</v>
      </c>
      <c r="C91">
        <v>7</v>
      </c>
      <c r="E91">
        <v>45</v>
      </c>
      <c r="O91">
        <v>7</v>
      </c>
      <c r="P91" s="8">
        <v>1</v>
      </c>
    </row>
    <row r="92" spans="1:16" x14ac:dyDescent="0.25">
      <c r="A92" s="8">
        <v>418</v>
      </c>
      <c r="B92" t="s">
        <v>319</v>
      </c>
      <c r="C92">
        <v>7</v>
      </c>
      <c r="E92">
        <v>45</v>
      </c>
      <c r="O92">
        <v>7</v>
      </c>
      <c r="P92" s="8">
        <v>1</v>
      </c>
    </row>
    <row r="93" spans="1:16" x14ac:dyDescent="0.25">
      <c r="A93" s="8">
        <v>419</v>
      </c>
      <c r="B93" t="s">
        <v>320</v>
      </c>
      <c r="C93">
        <v>7</v>
      </c>
      <c r="F93">
        <v>29</v>
      </c>
      <c r="O93">
        <v>7</v>
      </c>
      <c r="P93" s="8">
        <v>1</v>
      </c>
    </row>
    <row r="94" spans="1:16" x14ac:dyDescent="0.25">
      <c r="A94" s="8">
        <v>420</v>
      </c>
      <c r="B94" t="s">
        <v>321</v>
      </c>
      <c r="C94">
        <v>7</v>
      </c>
      <c r="F94">
        <v>29</v>
      </c>
      <c r="O94">
        <v>7</v>
      </c>
      <c r="P94" s="8">
        <v>1</v>
      </c>
    </row>
    <row r="95" spans="1:16" x14ac:dyDescent="0.25">
      <c r="A95" s="8">
        <v>421</v>
      </c>
      <c r="B95" t="s">
        <v>322</v>
      </c>
      <c r="C95">
        <v>7</v>
      </c>
      <c r="F95">
        <v>29</v>
      </c>
      <c r="O95">
        <v>7</v>
      </c>
      <c r="P95" s="8">
        <v>1</v>
      </c>
    </row>
    <row r="96" spans="1:16" x14ac:dyDescent="0.25">
      <c r="A96" s="8">
        <v>422</v>
      </c>
      <c r="B96" t="s">
        <v>323</v>
      </c>
      <c r="C96">
        <v>7</v>
      </c>
      <c r="F96">
        <v>29</v>
      </c>
      <c r="O96">
        <v>7</v>
      </c>
      <c r="P96" s="8">
        <v>1</v>
      </c>
    </row>
    <row r="97" spans="1:16" x14ac:dyDescent="0.25">
      <c r="A97" s="8">
        <v>423</v>
      </c>
      <c r="B97" t="s">
        <v>324</v>
      </c>
      <c r="C97">
        <v>7</v>
      </c>
      <c r="F97">
        <v>29</v>
      </c>
      <c r="O97">
        <v>7</v>
      </c>
      <c r="P97" s="8">
        <v>1</v>
      </c>
    </row>
    <row r="98" spans="1:16" x14ac:dyDescent="0.25">
      <c r="A98" s="8">
        <v>424</v>
      </c>
      <c r="B98" t="s">
        <v>325</v>
      </c>
      <c r="C98">
        <v>7</v>
      </c>
      <c r="F98">
        <v>29</v>
      </c>
      <c r="O98">
        <v>7</v>
      </c>
      <c r="P98" s="8">
        <v>1</v>
      </c>
    </row>
    <row r="99" spans="1:16" x14ac:dyDescent="0.25">
      <c r="A99" s="8">
        <v>425</v>
      </c>
      <c r="B99" t="s">
        <v>326</v>
      </c>
      <c r="C99">
        <v>7</v>
      </c>
      <c r="F99">
        <v>29</v>
      </c>
      <c r="O99">
        <v>7</v>
      </c>
      <c r="P99" s="8">
        <v>1</v>
      </c>
    </row>
    <row r="100" spans="1:16" x14ac:dyDescent="0.25">
      <c r="A100" s="8">
        <v>426</v>
      </c>
      <c r="B100" t="s">
        <v>327</v>
      </c>
      <c r="C100">
        <v>7</v>
      </c>
      <c r="F100">
        <v>29</v>
      </c>
      <c r="O100">
        <v>7</v>
      </c>
      <c r="P100" s="8">
        <v>1</v>
      </c>
    </row>
    <row r="101" spans="1:16" x14ac:dyDescent="0.25">
      <c r="A101" s="8">
        <v>427</v>
      </c>
      <c r="B101" t="s">
        <v>328</v>
      </c>
      <c r="C101">
        <v>7</v>
      </c>
      <c r="F101">
        <v>29</v>
      </c>
      <c r="O101">
        <v>7</v>
      </c>
      <c r="P101" s="8">
        <v>1</v>
      </c>
    </row>
    <row r="102" spans="1:16" x14ac:dyDescent="0.25">
      <c r="A102" s="8">
        <v>428</v>
      </c>
      <c r="B102" t="s">
        <v>329</v>
      </c>
      <c r="C102">
        <v>7</v>
      </c>
      <c r="F102">
        <v>29</v>
      </c>
      <c r="O102">
        <v>7</v>
      </c>
      <c r="P102" s="8">
        <v>1</v>
      </c>
    </row>
    <row r="103" spans="1:16" x14ac:dyDescent="0.25">
      <c r="A103" s="8">
        <v>429</v>
      </c>
      <c r="B103" t="s">
        <v>330</v>
      </c>
      <c r="C103">
        <v>7</v>
      </c>
      <c r="F103">
        <v>29</v>
      </c>
      <c r="O103">
        <v>7</v>
      </c>
      <c r="P103" s="8">
        <v>1</v>
      </c>
    </row>
    <row r="104" spans="1:16" x14ac:dyDescent="0.25">
      <c r="A104" s="8">
        <v>430</v>
      </c>
      <c r="B104" t="s">
        <v>331</v>
      </c>
      <c r="C104">
        <v>7</v>
      </c>
      <c r="F104">
        <v>29</v>
      </c>
      <c r="O104">
        <v>7</v>
      </c>
      <c r="P104" s="8">
        <v>1</v>
      </c>
    </row>
    <row r="105" spans="1:16" x14ac:dyDescent="0.25">
      <c r="A105" s="8">
        <v>431</v>
      </c>
      <c r="B105" t="s">
        <v>332</v>
      </c>
      <c r="C105">
        <v>7</v>
      </c>
      <c r="F105">
        <v>29</v>
      </c>
      <c r="O105">
        <v>7</v>
      </c>
      <c r="P105" s="8">
        <v>1</v>
      </c>
    </row>
    <row r="106" spans="1:16" x14ac:dyDescent="0.25">
      <c r="A106" s="8">
        <v>432</v>
      </c>
      <c r="B106" t="s">
        <v>333</v>
      </c>
      <c r="C106">
        <v>7</v>
      </c>
      <c r="F106">
        <v>29</v>
      </c>
      <c r="O106">
        <v>7</v>
      </c>
      <c r="P106" s="8">
        <v>1</v>
      </c>
    </row>
    <row r="107" spans="1:16" x14ac:dyDescent="0.25">
      <c r="A107" s="8">
        <v>433</v>
      </c>
      <c r="B107" t="s">
        <v>334</v>
      </c>
      <c r="C107">
        <v>7</v>
      </c>
      <c r="G107">
        <v>86</v>
      </c>
      <c r="O107">
        <v>7</v>
      </c>
      <c r="P107" s="8">
        <v>1</v>
      </c>
    </row>
    <row r="108" spans="1:16" x14ac:dyDescent="0.25">
      <c r="A108" s="8">
        <v>434</v>
      </c>
      <c r="B108" t="s">
        <v>335</v>
      </c>
      <c r="C108">
        <v>7</v>
      </c>
      <c r="G108">
        <v>86</v>
      </c>
      <c r="O108">
        <v>7</v>
      </c>
      <c r="P108" s="8">
        <v>1</v>
      </c>
    </row>
    <row r="109" spans="1:16" x14ac:dyDescent="0.25">
      <c r="A109" s="8">
        <v>435</v>
      </c>
      <c r="B109" t="s">
        <v>336</v>
      </c>
      <c r="C109">
        <v>7</v>
      </c>
      <c r="G109">
        <v>86</v>
      </c>
      <c r="O109">
        <v>7</v>
      </c>
      <c r="P109" s="8">
        <v>1</v>
      </c>
    </row>
    <row r="110" spans="1:16" x14ac:dyDescent="0.25">
      <c r="A110" s="8">
        <v>436</v>
      </c>
      <c r="B110" t="s">
        <v>337</v>
      </c>
      <c r="C110">
        <v>7</v>
      </c>
      <c r="G110">
        <v>86</v>
      </c>
      <c r="O110">
        <v>7</v>
      </c>
      <c r="P110" s="8">
        <v>1</v>
      </c>
    </row>
    <row r="111" spans="1:16" x14ac:dyDescent="0.25">
      <c r="A111" s="8">
        <v>437</v>
      </c>
      <c r="B111" t="s">
        <v>338</v>
      </c>
      <c r="C111">
        <v>7</v>
      </c>
      <c r="G111">
        <v>86</v>
      </c>
      <c r="O111">
        <v>7</v>
      </c>
      <c r="P111" s="8">
        <v>1</v>
      </c>
    </row>
    <row r="112" spans="1:16" x14ac:dyDescent="0.25">
      <c r="A112" s="8">
        <v>438</v>
      </c>
      <c r="B112" t="s">
        <v>339</v>
      </c>
      <c r="C112">
        <v>7</v>
      </c>
      <c r="G112">
        <v>86</v>
      </c>
      <c r="O112">
        <v>7</v>
      </c>
      <c r="P112" s="8">
        <v>1</v>
      </c>
    </row>
    <row r="113" spans="1:16" x14ac:dyDescent="0.25">
      <c r="A113" s="8">
        <v>439</v>
      </c>
      <c r="B113" t="s">
        <v>340</v>
      </c>
      <c r="C113">
        <v>7</v>
      </c>
      <c r="G113">
        <v>86</v>
      </c>
      <c r="O113">
        <v>7</v>
      </c>
      <c r="P113" s="8">
        <v>1</v>
      </c>
    </row>
    <row r="114" spans="1:16" x14ac:dyDescent="0.25">
      <c r="A114" s="8">
        <v>440</v>
      </c>
      <c r="B114" t="s">
        <v>341</v>
      </c>
      <c r="C114">
        <v>7</v>
      </c>
      <c r="G114">
        <v>86</v>
      </c>
      <c r="O114">
        <v>7</v>
      </c>
      <c r="P114" s="8">
        <v>1</v>
      </c>
    </row>
    <row r="115" spans="1:16" x14ac:dyDescent="0.25">
      <c r="A115" s="8">
        <v>441</v>
      </c>
      <c r="B115" t="s">
        <v>342</v>
      </c>
      <c r="C115">
        <v>7</v>
      </c>
      <c r="G115">
        <v>86</v>
      </c>
      <c r="O115">
        <v>7</v>
      </c>
      <c r="P115" s="8">
        <v>1</v>
      </c>
    </row>
    <row r="116" spans="1:16" x14ac:dyDescent="0.25">
      <c r="A116" s="8">
        <v>442</v>
      </c>
      <c r="B116" t="s">
        <v>343</v>
      </c>
      <c r="C116">
        <v>7</v>
      </c>
      <c r="G116">
        <v>86</v>
      </c>
      <c r="O116">
        <v>7</v>
      </c>
      <c r="P116" s="8">
        <v>1</v>
      </c>
    </row>
    <row r="117" spans="1:16" x14ac:dyDescent="0.25">
      <c r="A117" s="8">
        <v>443</v>
      </c>
      <c r="B117" t="s">
        <v>344</v>
      </c>
      <c r="C117">
        <v>7</v>
      </c>
      <c r="G117">
        <v>86</v>
      </c>
      <c r="O117">
        <v>7</v>
      </c>
      <c r="P117" s="8">
        <v>1</v>
      </c>
    </row>
    <row r="118" spans="1:16" x14ac:dyDescent="0.25">
      <c r="A118" s="8">
        <v>444</v>
      </c>
      <c r="B118" t="s">
        <v>345</v>
      </c>
      <c r="C118">
        <v>7</v>
      </c>
      <c r="G118">
        <v>86</v>
      </c>
      <c r="O118">
        <v>7</v>
      </c>
      <c r="P118" s="8">
        <v>1</v>
      </c>
    </row>
    <row r="119" spans="1:16" x14ac:dyDescent="0.25">
      <c r="A119" s="8">
        <v>445</v>
      </c>
      <c r="B119" t="s">
        <v>346</v>
      </c>
      <c r="C119">
        <v>7</v>
      </c>
      <c r="G119">
        <v>86</v>
      </c>
      <c r="O119">
        <v>7</v>
      </c>
      <c r="P119" s="8">
        <v>1</v>
      </c>
    </row>
    <row r="120" spans="1:16" x14ac:dyDescent="0.25">
      <c r="A120" s="8">
        <v>446</v>
      </c>
      <c r="B120" t="s">
        <v>347</v>
      </c>
      <c r="C120">
        <v>7</v>
      </c>
      <c r="F120">
        <v>29</v>
      </c>
      <c r="O120">
        <v>7</v>
      </c>
      <c r="P120" s="8">
        <v>1</v>
      </c>
    </row>
    <row r="121" spans="1:16" x14ac:dyDescent="0.25">
      <c r="A121" s="8">
        <v>447</v>
      </c>
      <c r="B121" t="s">
        <v>348</v>
      </c>
      <c r="C121">
        <v>7</v>
      </c>
      <c r="F121">
        <v>29</v>
      </c>
      <c r="O121">
        <v>7</v>
      </c>
      <c r="P121" s="8">
        <v>1</v>
      </c>
    </row>
    <row r="122" spans="1:16" x14ac:dyDescent="0.25">
      <c r="A122" s="8">
        <v>448</v>
      </c>
      <c r="B122" t="s">
        <v>349</v>
      </c>
      <c r="C122">
        <v>7</v>
      </c>
      <c r="F122">
        <v>29</v>
      </c>
      <c r="O122">
        <v>7</v>
      </c>
      <c r="P122" s="8">
        <v>1</v>
      </c>
    </row>
    <row r="123" spans="1:16" x14ac:dyDescent="0.25">
      <c r="A123" s="8">
        <v>449</v>
      </c>
      <c r="B123" t="s">
        <v>350</v>
      </c>
      <c r="C123">
        <v>7</v>
      </c>
      <c r="F123">
        <v>29</v>
      </c>
      <c r="O123">
        <v>7</v>
      </c>
      <c r="P123" s="8">
        <v>1</v>
      </c>
    </row>
    <row r="124" spans="1:16" x14ac:dyDescent="0.25">
      <c r="A124" s="8">
        <v>450</v>
      </c>
      <c r="B124" t="s">
        <v>351</v>
      </c>
      <c r="C124">
        <v>7</v>
      </c>
      <c r="F124">
        <v>29</v>
      </c>
      <c r="O124">
        <v>7</v>
      </c>
      <c r="P124" s="8">
        <v>1</v>
      </c>
    </row>
    <row r="125" spans="1:16" x14ac:dyDescent="0.25">
      <c r="A125" s="8">
        <v>451</v>
      </c>
      <c r="B125" t="s">
        <v>352</v>
      </c>
      <c r="C125">
        <v>7</v>
      </c>
      <c r="E125">
        <v>45</v>
      </c>
      <c r="O125">
        <v>7</v>
      </c>
      <c r="P125" s="8">
        <v>1</v>
      </c>
    </row>
    <row r="126" spans="1:16" x14ac:dyDescent="0.25">
      <c r="A126" s="8">
        <v>452</v>
      </c>
      <c r="B126" t="s">
        <v>353</v>
      </c>
      <c r="C126">
        <v>7</v>
      </c>
      <c r="F126">
        <v>29</v>
      </c>
      <c r="O126">
        <v>7</v>
      </c>
      <c r="P126" s="8">
        <v>1</v>
      </c>
    </row>
    <row r="127" spans="1:16" x14ac:dyDescent="0.25">
      <c r="A127" s="8">
        <v>453</v>
      </c>
      <c r="B127" t="s">
        <v>292</v>
      </c>
      <c r="C127">
        <v>7</v>
      </c>
      <c r="D127">
        <v>45</v>
      </c>
      <c r="O127">
        <v>7</v>
      </c>
      <c r="P127" s="8">
        <v>1</v>
      </c>
    </row>
    <row r="128" spans="1:16" x14ac:dyDescent="0.25">
      <c r="A128" s="8">
        <v>454</v>
      </c>
      <c r="B128" t="s">
        <v>293</v>
      </c>
      <c r="C128">
        <v>7</v>
      </c>
      <c r="D128">
        <v>45</v>
      </c>
      <c r="O128">
        <v>7</v>
      </c>
      <c r="P128" s="8">
        <v>1</v>
      </c>
    </row>
    <row r="129" spans="1:16" x14ac:dyDescent="0.25">
      <c r="A129" s="8">
        <v>455</v>
      </c>
      <c r="B129" t="s">
        <v>294</v>
      </c>
      <c r="C129">
        <v>7</v>
      </c>
      <c r="D129">
        <v>45</v>
      </c>
      <c r="O129">
        <v>7</v>
      </c>
      <c r="P129" s="8">
        <v>1</v>
      </c>
    </row>
    <row r="130" spans="1:16" x14ac:dyDescent="0.25">
      <c r="A130" s="8">
        <v>456</v>
      </c>
      <c r="B130" t="s">
        <v>295</v>
      </c>
      <c r="C130">
        <v>7</v>
      </c>
      <c r="D130">
        <v>45</v>
      </c>
      <c r="O130">
        <v>7</v>
      </c>
      <c r="P130" s="8">
        <v>1</v>
      </c>
    </row>
    <row r="131" spans="1:16" x14ac:dyDescent="0.25">
      <c r="A131" s="8">
        <v>457</v>
      </c>
      <c r="B131" t="s">
        <v>296</v>
      </c>
      <c r="C131">
        <v>7</v>
      </c>
      <c r="E131">
        <v>52</v>
      </c>
      <c r="O131">
        <v>7</v>
      </c>
      <c r="P131" s="8">
        <v>1</v>
      </c>
    </row>
    <row r="132" spans="1:16" x14ac:dyDescent="0.25">
      <c r="A132" s="8">
        <v>458</v>
      </c>
      <c r="B132" t="s">
        <v>297</v>
      </c>
      <c r="C132">
        <v>7</v>
      </c>
      <c r="D132">
        <v>45</v>
      </c>
      <c r="O132">
        <v>7</v>
      </c>
      <c r="P132" s="8">
        <v>1</v>
      </c>
    </row>
    <row r="133" spans="1:16" x14ac:dyDescent="0.25">
      <c r="A133" s="8">
        <v>459</v>
      </c>
      <c r="B133" t="s">
        <v>298</v>
      </c>
      <c r="C133">
        <v>7</v>
      </c>
      <c r="D133">
        <v>45</v>
      </c>
      <c r="O133">
        <v>7</v>
      </c>
      <c r="P133" s="8">
        <v>1</v>
      </c>
    </row>
    <row r="134" spans="1:16" x14ac:dyDescent="0.25">
      <c r="A134" s="8">
        <v>460</v>
      </c>
      <c r="B134" t="s">
        <v>300</v>
      </c>
      <c r="C134">
        <v>7</v>
      </c>
      <c r="D134">
        <v>45</v>
      </c>
      <c r="O134">
        <v>7</v>
      </c>
      <c r="P134" s="8">
        <v>1</v>
      </c>
    </row>
    <row r="135" spans="1:16" x14ac:dyDescent="0.25">
      <c r="A135" s="8">
        <v>461</v>
      </c>
      <c r="B135" t="s">
        <v>301</v>
      </c>
      <c r="C135">
        <v>7</v>
      </c>
      <c r="D135">
        <v>45</v>
      </c>
      <c r="O135">
        <v>7</v>
      </c>
      <c r="P135" s="8">
        <v>1</v>
      </c>
    </row>
    <row r="136" spans="1:16" x14ac:dyDescent="0.25">
      <c r="A136" s="8">
        <v>462</v>
      </c>
      <c r="B136" t="s">
        <v>299</v>
      </c>
      <c r="C136">
        <v>7</v>
      </c>
      <c r="D136">
        <v>45</v>
      </c>
      <c r="O136">
        <v>7</v>
      </c>
      <c r="P136" s="8">
        <v>1</v>
      </c>
    </row>
    <row r="137" spans="1:16" x14ac:dyDescent="0.25">
      <c r="A137" s="8">
        <v>463</v>
      </c>
      <c r="B137" t="s">
        <v>302</v>
      </c>
      <c r="C137">
        <v>7</v>
      </c>
      <c r="E137">
        <v>52</v>
      </c>
      <c r="O137">
        <v>7</v>
      </c>
      <c r="P137" s="8">
        <v>1</v>
      </c>
    </row>
    <row r="138" spans="1:16" x14ac:dyDescent="0.25">
      <c r="A138" s="8">
        <v>464</v>
      </c>
      <c r="B138" t="s">
        <v>354</v>
      </c>
      <c r="C138">
        <v>7</v>
      </c>
      <c r="D138">
        <v>45</v>
      </c>
      <c r="O138">
        <v>7</v>
      </c>
      <c r="P138" s="8">
        <v>1</v>
      </c>
    </row>
    <row r="139" spans="1:16" x14ac:dyDescent="0.25">
      <c r="A139" s="8">
        <v>465</v>
      </c>
      <c r="B139" t="s">
        <v>355</v>
      </c>
      <c r="C139">
        <v>7</v>
      </c>
      <c r="D139">
        <v>45</v>
      </c>
      <c r="O139">
        <v>7</v>
      </c>
      <c r="P139" s="8">
        <v>1</v>
      </c>
    </row>
    <row r="140" spans="1:16" x14ac:dyDescent="0.25">
      <c r="A140" s="8">
        <v>466</v>
      </c>
      <c r="B140" t="s">
        <v>356</v>
      </c>
      <c r="C140">
        <v>7</v>
      </c>
      <c r="F140">
        <v>34</v>
      </c>
      <c r="O140">
        <v>7</v>
      </c>
      <c r="P140" s="8">
        <v>1</v>
      </c>
    </row>
    <row r="141" spans="1:16" x14ac:dyDescent="0.25">
      <c r="A141" s="8">
        <v>467</v>
      </c>
      <c r="B141" t="s">
        <v>357</v>
      </c>
      <c r="C141">
        <v>7</v>
      </c>
      <c r="F141">
        <v>34</v>
      </c>
      <c r="O141">
        <v>7</v>
      </c>
      <c r="P141" s="8">
        <v>1</v>
      </c>
    </row>
    <row r="142" spans="1:16" x14ac:dyDescent="0.25">
      <c r="A142" s="8">
        <v>468</v>
      </c>
      <c r="B142" t="s">
        <v>358</v>
      </c>
      <c r="C142">
        <v>7</v>
      </c>
      <c r="F142">
        <v>34</v>
      </c>
      <c r="O142">
        <v>7</v>
      </c>
      <c r="P142" s="8">
        <v>1</v>
      </c>
    </row>
    <row r="143" spans="1:16" x14ac:dyDescent="0.25">
      <c r="A143" s="8">
        <v>469</v>
      </c>
      <c r="B143" t="s">
        <v>359</v>
      </c>
      <c r="C143">
        <v>7</v>
      </c>
      <c r="F143">
        <v>34</v>
      </c>
      <c r="O143">
        <v>7</v>
      </c>
      <c r="P143" s="8">
        <v>1</v>
      </c>
    </row>
    <row r="144" spans="1:16" x14ac:dyDescent="0.25">
      <c r="A144" s="8">
        <v>470</v>
      </c>
      <c r="B144" t="s">
        <v>360</v>
      </c>
      <c r="C144">
        <v>7</v>
      </c>
      <c r="D144">
        <v>45</v>
      </c>
      <c r="O144">
        <v>7</v>
      </c>
      <c r="P144" s="8">
        <v>1</v>
      </c>
    </row>
    <row r="145" spans="1:16" x14ac:dyDescent="0.25">
      <c r="A145" s="8">
        <v>471</v>
      </c>
      <c r="B145" t="s">
        <v>361</v>
      </c>
      <c r="C145">
        <v>7</v>
      </c>
      <c r="D145">
        <v>45</v>
      </c>
      <c r="O145">
        <v>7</v>
      </c>
      <c r="P145" s="8">
        <v>1</v>
      </c>
    </row>
    <row r="146" spans="1:16" x14ac:dyDescent="0.25">
      <c r="A146" s="8">
        <v>472</v>
      </c>
      <c r="B146" t="s">
        <v>362</v>
      </c>
      <c r="C146">
        <v>7</v>
      </c>
      <c r="D146">
        <v>45</v>
      </c>
      <c r="O146">
        <v>7</v>
      </c>
      <c r="P146" s="8">
        <v>1</v>
      </c>
    </row>
    <row r="147" spans="1:16" x14ac:dyDescent="0.25">
      <c r="A147" s="8">
        <v>473</v>
      </c>
      <c r="B147" t="s">
        <v>363</v>
      </c>
      <c r="C147">
        <v>7</v>
      </c>
      <c r="D147">
        <v>45</v>
      </c>
      <c r="O147">
        <v>7</v>
      </c>
      <c r="P147" s="8">
        <v>1</v>
      </c>
    </row>
    <row r="148" spans="1:16" x14ac:dyDescent="0.25">
      <c r="A148" s="8">
        <v>474</v>
      </c>
      <c r="B148" t="s">
        <v>364</v>
      </c>
      <c r="C148">
        <v>7</v>
      </c>
      <c r="D148">
        <v>45</v>
      </c>
      <c r="O148">
        <v>7</v>
      </c>
      <c r="P148" s="8">
        <v>1</v>
      </c>
    </row>
    <row r="149" spans="1:16" x14ac:dyDescent="0.25">
      <c r="A149" s="8">
        <v>475</v>
      </c>
      <c r="B149" t="s">
        <v>365</v>
      </c>
      <c r="C149">
        <v>7</v>
      </c>
      <c r="D149">
        <v>45</v>
      </c>
      <c r="O149">
        <v>7</v>
      </c>
      <c r="P149" s="8">
        <v>1</v>
      </c>
    </row>
    <row r="150" spans="1:16" x14ac:dyDescent="0.25">
      <c r="A150" s="8">
        <v>476</v>
      </c>
      <c r="B150" t="s">
        <v>366</v>
      </c>
      <c r="C150">
        <v>7</v>
      </c>
      <c r="D150">
        <v>45</v>
      </c>
      <c r="O150">
        <v>7</v>
      </c>
      <c r="P150" s="8">
        <v>1</v>
      </c>
    </row>
    <row r="151" spans="1:16" x14ac:dyDescent="0.25">
      <c r="A151" s="8">
        <v>477</v>
      </c>
      <c r="B151" t="s">
        <v>367</v>
      </c>
      <c r="C151">
        <v>7</v>
      </c>
      <c r="D151">
        <v>45</v>
      </c>
      <c r="O151">
        <v>7</v>
      </c>
      <c r="P151" s="8">
        <v>1</v>
      </c>
    </row>
    <row r="152" spans="1:16" x14ac:dyDescent="0.25">
      <c r="A152" s="8">
        <v>478</v>
      </c>
      <c r="B152" t="s">
        <v>368</v>
      </c>
      <c r="C152">
        <v>7</v>
      </c>
      <c r="D152">
        <v>45</v>
      </c>
      <c r="O152">
        <v>7</v>
      </c>
      <c r="P152" s="8">
        <v>1</v>
      </c>
    </row>
    <row r="153" spans="1:16" x14ac:dyDescent="0.25">
      <c r="A153" s="8">
        <v>479</v>
      </c>
      <c r="B153" t="s">
        <v>369</v>
      </c>
      <c r="C153">
        <v>7</v>
      </c>
      <c r="D153">
        <v>45</v>
      </c>
      <c r="O153">
        <v>7</v>
      </c>
      <c r="P153" s="8">
        <v>1</v>
      </c>
    </row>
    <row r="154" spans="1:16" x14ac:dyDescent="0.25">
      <c r="A154" s="8">
        <v>480</v>
      </c>
      <c r="B154" t="s">
        <v>370</v>
      </c>
      <c r="C154">
        <v>7</v>
      </c>
      <c r="D154">
        <v>45</v>
      </c>
      <c r="O154">
        <v>7</v>
      </c>
      <c r="P154" s="8">
        <v>1</v>
      </c>
    </row>
    <row r="155" spans="1:16" x14ac:dyDescent="0.25">
      <c r="A155" s="8">
        <v>481</v>
      </c>
      <c r="B155" t="s">
        <v>371</v>
      </c>
      <c r="C155">
        <v>7</v>
      </c>
      <c r="D155">
        <v>45</v>
      </c>
      <c r="O155">
        <v>7</v>
      </c>
      <c r="P155" s="8">
        <v>1</v>
      </c>
    </row>
    <row r="156" spans="1:16" x14ac:dyDescent="0.25">
      <c r="A156" s="8">
        <v>482</v>
      </c>
      <c r="B156" t="s">
        <v>372</v>
      </c>
      <c r="C156">
        <v>7</v>
      </c>
      <c r="D156">
        <v>45</v>
      </c>
      <c r="O156">
        <v>7</v>
      </c>
      <c r="P156" s="8">
        <v>1</v>
      </c>
    </row>
    <row r="157" spans="1:16" x14ac:dyDescent="0.25">
      <c r="A157" s="8">
        <v>483</v>
      </c>
      <c r="B157" t="s">
        <v>373</v>
      </c>
      <c r="C157">
        <v>7</v>
      </c>
      <c r="D157">
        <v>45</v>
      </c>
      <c r="O157">
        <v>7</v>
      </c>
      <c r="P157" s="8">
        <v>1</v>
      </c>
    </row>
    <row r="158" spans="1:16" x14ac:dyDescent="0.25">
      <c r="A158" s="8">
        <v>484</v>
      </c>
      <c r="B158" t="s">
        <v>374</v>
      </c>
      <c r="C158">
        <v>7</v>
      </c>
      <c r="D158">
        <v>45</v>
      </c>
      <c r="O158">
        <v>7</v>
      </c>
      <c r="P158" s="8">
        <v>1</v>
      </c>
    </row>
    <row r="159" spans="1:16" x14ac:dyDescent="0.25">
      <c r="A159" s="8">
        <v>485</v>
      </c>
      <c r="B159" t="s">
        <v>375</v>
      </c>
      <c r="C159">
        <v>7</v>
      </c>
      <c r="D159">
        <v>45</v>
      </c>
      <c r="O159">
        <v>7</v>
      </c>
      <c r="P159" s="8">
        <v>1</v>
      </c>
    </row>
    <row r="160" spans="1:16" x14ac:dyDescent="0.25">
      <c r="A160" s="8">
        <v>486</v>
      </c>
      <c r="B160" t="s">
        <v>376</v>
      </c>
      <c r="C160">
        <v>7</v>
      </c>
      <c r="D160">
        <v>45</v>
      </c>
      <c r="O160">
        <v>7</v>
      </c>
      <c r="P160" s="8">
        <v>1</v>
      </c>
    </row>
    <row r="161" spans="1:16" x14ac:dyDescent="0.25">
      <c r="A161" s="8">
        <v>487</v>
      </c>
      <c r="B161" t="s">
        <v>377</v>
      </c>
      <c r="C161">
        <v>7</v>
      </c>
      <c r="D161">
        <v>45</v>
      </c>
      <c r="O161">
        <v>7</v>
      </c>
      <c r="P161" s="8">
        <v>1</v>
      </c>
    </row>
    <row r="162" spans="1:16" x14ac:dyDescent="0.25">
      <c r="A162" s="8">
        <v>488</v>
      </c>
      <c r="B162" t="s">
        <v>378</v>
      </c>
      <c r="C162">
        <v>7</v>
      </c>
      <c r="D162">
        <v>45</v>
      </c>
      <c r="O162">
        <v>7</v>
      </c>
      <c r="P162" s="8">
        <v>1</v>
      </c>
    </row>
    <row r="163" spans="1:16" x14ac:dyDescent="0.25">
      <c r="A163" s="8">
        <v>489</v>
      </c>
      <c r="B163" t="s">
        <v>379</v>
      </c>
      <c r="C163">
        <v>7</v>
      </c>
      <c r="D163">
        <v>45</v>
      </c>
      <c r="O163">
        <v>7</v>
      </c>
      <c r="P163" s="8">
        <v>1</v>
      </c>
    </row>
    <row r="164" spans="1:16" x14ac:dyDescent="0.25">
      <c r="A164" s="8">
        <v>490</v>
      </c>
      <c r="B164" t="s">
        <v>380</v>
      </c>
      <c r="C164">
        <v>7</v>
      </c>
      <c r="D164">
        <v>45</v>
      </c>
      <c r="O164">
        <v>7</v>
      </c>
      <c r="P164" s="8">
        <v>1</v>
      </c>
    </row>
    <row r="165" spans="1:16" x14ac:dyDescent="0.25">
      <c r="A165" s="8">
        <v>491</v>
      </c>
      <c r="B165" t="s">
        <v>381</v>
      </c>
      <c r="C165">
        <v>7</v>
      </c>
      <c r="D165">
        <v>45</v>
      </c>
      <c r="O165">
        <v>7</v>
      </c>
      <c r="P165" s="8">
        <v>1</v>
      </c>
    </row>
    <row r="166" spans="1:16" x14ac:dyDescent="0.25">
      <c r="A166" s="8">
        <v>492</v>
      </c>
      <c r="B166" t="s">
        <v>382</v>
      </c>
      <c r="C166">
        <v>7</v>
      </c>
      <c r="D166">
        <v>45</v>
      </c>
      <c r="O166">
        <v>7</v>
      </c>
      <c r="P166" s="8">
        <v>1</v>
      </c>
    </row>
    <row r="167" spans="1:16" x14ac:dyDescent="0.25">
      <c r="A167" s="8">
        <v>493</v>
      </c>
      <c r="B167" t="s">
        <v>383</v>
      </c>
      <c r="C167">
        <v>7</v>
      </c>
      <c r="D167">
        <v>45</v>
      </c>
      <c r="O167">
        <v>7</v>
      </c>
      <c r="P167" s="8">
        <v>1</v>
      </c>
    </row>
    <row r="168" spans="1:16" x14ac:dyDescent="0.25">
      <c r="A168" s="8">
        <v>494</v>
      </c>
      <c r="B168" t="s">
        <v>384</v>
      </c>
      <c r="C168">
        <v>7</v>
      </c>
      <c r="D168">
        <v>45</v>
      </c>
      <c r="O168">
        <v>7</v>
      </c>
      <c r="P168" s="8">
        <v>1</v>
      </c>
    </row>
    <row r="169" spans="1:16" x14ac:dyDescent="0.25">
      <c r="A169" s="8">
        <v>495</v>
      </c>
      <c r="B169" t="s">
        <v>385</v>
      </c>
      <c r="C169">
        <v>7</v>
      </c>
      <c r="D169">
        <v>45</v>
      </c>
      <c r="O169">
        <v>7</v>
      </c>
      <c r="P169" s="8">
        <v>1</v>
      </c>
    </row>
    <row r="170" spans="1:16" x14ac:dyDescent="0.25">
      <c r="A170" s="8">
        <v>496</v>
      </c>
      <c r="B170" t="s">
        <v>386</v>
      </c>
      <c r="C170">
        <v>7</v>
      </c>
      <c r="D170">
        <v>45</v>
      </c>
      <c r="O170">
        <v>7</v>
      </c>
      <c r="P170" s="8">
        <v>1</v>
      </c>
    </row>
    <row r="171" spans="1:16" x14ac:dyDescent="0.25">
      <c r="A171" s="8">
        <v>497</v>
      </c>
      <c r="B171" t="s">
        <v>387</v>
      </c>
      <c r="C171">
        <v>7</v>
      </c>
      <c r="D171">
        <v>45</v>
      </c>
      <c r="O171">
        <v>7</v>
      </c>
      <c r="P171" s="8">
        <v>1</v>
      </c>
    </row>
    <row r="172" spans="1:16" x14ac:dyDescent="0.25">
      <c r="A172" s="8">
        <v>498</v>
      </c>
      <c r="B172" t="s">
        <v>388</v>
      </c>
      <c r="C172">
        <v>7</v>
      </c>
      <c r="D172">
        <v>45</v>
      </c>
      <c r="O172">
        <v>7</v>
      </c>
      <c r="P172" s="8">
        <v>1</v>
      </c>
    </row>
    <row r="173" spans="1:16" x14ac:dyDescent="0.25">
      <c r="A173" s="8">
        <v>499</v>
      </c>
      <c r="B173" t="s">
        <v>390</v>
      </c>
      <c r="C173">
        <v>7</v>
      </c>
      <c r="D173">
        <v>45</v>
      </c>
      <c r="O173">
        <v>7</v>
      </c>
      <c r="P173" s="8">
        <v>1</v>
      </c>
    </row>
    <row r="174" spans="1:16" x14ac:dyDescent="0.25">
      <c r="A174" s="8">
        <v>500</v>
      </c>
      <c r="B174" t="s">
        <v>391</v>
      </c>
      <c r="C174">
        <v>7</v>
      </c>
      <c r="D174">
        <v>45</v>
      </c>
      <c r="O174">
        <v>7</v>
      </c>
      <c r="P174" s="8">
        <v>1</v>
      </c>
    </row>
    <row r="175" spans="1:16" x14ac:dyDescent="0.25">
      <c r="A175" s="8">
        <v>501</v>
      </c>
      <c r="B175" t="s">
        <v>392</v>
      </c>
      <c r="C175">
        <v>7</v>
      </c>
      <c r="D175">
        <v>45</v>
      </c>
      <c r="O175">
        <v>7</v>
      </c>
      <c r="P175" s="8">
        <v>1</v>
      </c>
    </row>
    <row r="176" spans="1:16" x14ac:dyDescent="0.25">
      <c r="A176" s="8">
        <v>502</v>
      </c>
      <c r="B176" t="s">
        <v>393</v>
      </c>
      <c r="C176">
        <v>1</v>
      </c>
      <c r="D176">
        <v>17</v>
      </c>
      <c r="O176">
        <v>2</v>
      </c>
      <c r="P176" s="8"/>
    </row>
    <row r="177" spans="1:16" x14ac:dyDescent="0.25">
      <c r="A177" s="8">
        <v>503</v>
      </c>
      <c r="B177" t="s">
        <v>394</v>
      </c>
      <c r="C177">
        <v>1</v>
      </c>
      <c r="D177">
        <v>17</v>
      </c>
      <c r="O177">
        <v>2</v>
      </c>
      <c r="P177" s="8"/>
    </row>
    <row r="178" spans="1:16" x14ac:dyDescent="0.25">
      <c r="A178" s="8">
        <v>504</v>
      </c>
      <c r="B178" t="s">
        <v>395</v>
      </c>
      <c r="C178">
        <v>1</v>
      </c>
      <c r="D178">
        <v>17</v>
      </c>
      <c r="O178">
        <v>2</v>
      </c>
      <c r="P178" s="8"/>
    </row>
    <row r="179" spans="1:16" x14ac:dyDescent="0.25">
      <c r="A179" s="8">
        <v>505</v>
      </c>
      <c r="B179" t="s">
        <v>396</v>
      </c>
      <c r="C179">
        <v>1</v>
      </c>
      <c r="D179">
        <v>17</v>
      </c>
      <c r="O179">
        <v>2</v>
      </c>
      <c r="P179" s="8"/>
    </row>
    <row r="180" spans="1:16" x14ac:dyDescent="0.25">
      <c r="A180" s="8">
        <v>506</v>
      </c>
      <c r="B180" t="s">
        <v>389</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5"/>
  <sheetViews>
    <sheetView workbookViewId="0">
      <selection activeCell="B8" sqref="B8"/>
    </sheetView>
  </sheetViews>
  <sheetFormatPr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71.5703125" style="2" customWidth="1"/>
    <col min="9" max="9" width="48.85546875" customWidth="1"/>
  </cols>
  <sheetData>
    <row r="1" spans="1:9" x14ac:dyDescent="0.25">
      <c r="A1" s="2" t="s">
        <v>104</v>
      </c>
      <c r="B1" s="9" t="s">
        <v>93</v>
      </c>
      <c r="C1" s="9" t="s">
        <v>188</v>
      </c>
      <c r="D1" t="s">
        <v>92</v>
      </c>
      <c r="E1" s="10" t="s">
        <v>4</v>
      </c>
      <c r="F1" s="6" t="s">
        <v>0</v>
      </c>
      <c r="G1" s="10" t="s">
        <v>3</v>
      </c>
      <c r="H1" s="9" t="s">
        <v>136</v>
      </c>
      <c r="I1" t="s">
        <v>206</v>
      </c>
    </row>
    <row r="2" spans="1:9" ht="45" x14ac:dyDescent="0.25">
      <c r="A2" s="2" t="s">
        <v>23</v>
      </c>
      <c r="B2" s="2" t="s">
        <v>23</v>
      </c>
      <c r="D2" t="s">
        <v>24</v>
      </c>
      <c r="F2" s="6" t="s">
        <v>2</v>
      </c>
      <c r="G2" s="4">
        <f>IF(Prestations[[#This Row],[Taxes]]="TTC",Prestations[[#This Row],[Cout]],Prestations[[#This Row],[Cout]]*1.2)</f>
        <v>0</v>
      </c>
    </row>
    <row r="3" spans="1:9" x14ac:dyDescent="0.25">
      <c r="A3" s="2" t="s">
        <v>170</v>
      </c>
      <c r="B3" s="2" t="s">
        <v>183</v>
      </c>
      <c r="C3" s="2" t="s">
        <v>71</v>
      </c>
      <c r="D3" t="s">
        <v>178</v>
      </c>
      <c r="E3" s="4">
        <v>0</v>
      </c>
      <c r="F3" s="6" t="s">
        <v>2</v>
      </c>
      <c r="G3" s="4">
        <f>IF(Prestations[[#This Row],[Taxes]]="TTC",Prestations[[#This Row],[Cout]],Prestations[[#This Row],[Cout]]*1.2)</f>
        <v>0</v>
      </c>
      <c r="H3" s="2" t="s">
        <v>173</v>
      </c>
    </row>
    <row r="4" spans="1:9" x14ac:dyDescent="0.25">
      <c r="A4" s="2" t="s">
        <v>169</v>
      </c>
      <c r="B4" s="2" t="s">
        <v>183</v>
      </c>
      <c r="C4" s="2" t="s">
        <v>70</v>
      </c>
      <c r="D4" t="s">
        <v>178</v>
      </c>
      <c r="E4" s="4">
        <v>10000</v>
      </c>
      <c r="F4" s="6" t="s">
        <v>2</v>
      </c>
      <c r="G4" s="4">
        <f>IF(Prestations[[#This Row],[Taxes]]="TTC",Prestations[[#This Row],[Cout]],Prestations[[#This Row],[Cout]]*1.2)</f>
        <v>10000</v>
      </c>
      <c r="H4" s="2" t="s">
        <v>176</v>
      </c>
    </row>
    <row r="5" spans="1:9" x14ac:dyDescent="0.25">
      <c r="A5" s="2" t="s">
        <v>170</v>
      </c>
      <c r="B5" s="2" t="s">
        <v>182</v>
      </c>
      <c r="C5" s="2" t="s">
        <v>71</v>
      </c>
      <c r="D5" t="s">
        <v>178</v>
      </c>
      <c r="E5" s="4">
        <v>1940</v>
      </c>
      <c r="F5" s="6" t="s">
        <v>2</v>
      </c>
      <c r="G5" s="4">
        <f>IF(Prestations[[#This Row],[Taxes]]="TTC",Prestations[[#This Row],[Cout]],Prestations[[#This Row],[Cout]]*1.2)</f>
        <v>1940</v>
      </c>
      <c r="H5" s="2" t="s">
        <v>172</v>
      </c>
    </row>
    <row r="6" spans="1:9" x14ac:dyDescent="0.25">
      <c r="A6" s="2" t="s">
        <v>169</v>
      </c>
      <c r="B6" s="2" t="s">
        <v>182</v>
      </c>
      <c r="C6" s="2" t="s">
        <v>70</v>
      </c>
      <c r="D6" t="s">
        <v>178</v>
      </c>
      <c r="E6" s="4">
        <v>18000</v>
      </c>
      <c r="F6" s="6" t="s">
        <v>2</v>
      </c>
      <c r="G6" s="4">
        <f>IF(Prestations[[#This Row],[Taxes]]="TTC",Prestations[[#This Row],[Cout]],Prestations[[#This Row],[Cout]]*1.2)</f>
        <v>18000</v>
      </c>
      <c r="H6" s="2" t="s">
        <v>175</v>
      </c>
    </row>
    <row r="7" spans="1:9" x14ac:dyDescent="0.25">
      <c r="A7" s="2" t="s">
        <v>170</v>
      </c>
      <c r="B7" s="2" t="s">
        <v>184</v>
      </c>
      <c r="C7" s="2" t="s">
        <v>71</v>
      </c>
      <c r="D7" t="s">
        <v>178</v>
      </c>
      <c r="E7" s="4">
        <v>5710</v>
      </c>
      <c r="F7" s="6" t="s">
        <v>2</v>
      </c>
      <c r="G7" s="4">
        <f>IF(Prestations[[#This Row],[Taxes]]="TTC",Prestations[[#This Row],[Cout]],Prestations[[#This Row],[Cout]]*1.2)</f>
        <v>5710</v>
      </c>
      <c r="H7" s="2" t="s">
        <v>173</v>
      </c>
    </row>
    <row r="8" spans="1:9" x14ac:dyDescent="0.25">
      <c r="A8" s="2" t="s">
        <v>169</v>
      </c>
      <c r="B8" s="2" t="s">
        <v>184</v>
      </c>
      <c r="C8" s="2" t="s">
        <v>70</v>
      </c>
      <c r="D8" t="s">
        <v>178</v>
      </c>
      <c r="E8" s="4">
        <v>20000</v>
      </c>
      <c r="F8" s="6" t="s">
        <v>2</v>
      </c>
      <c r="G8" s="4">
        <f>IF(Prestations[[#This Row],[Taxes]]="TTC",Prestations[[#This Row],[Cout]],Prestations[[#This Row],[Cout]]*1.2)</f>
        <v>20000</v>
      </c>
      <c r="H8" s="2" t="s">
        <v>176</v>
      </c>
    </row>
    <row r="9" spans="1:9" x14ac:dyDescent="0.25">
      <c r="A9" s="2" t="s">
        <v>170</v>
      </c>
      <c r="B9" s="2" t="s">
        <v>185</v>
      </c>
      <c r="C9" s="2" t="s">
        <v>71</v>
      </c>
      <c r="D9" t="s">
        <v>178</v>
      </c>
      <c r="E9" s="4">
        <v>10770</v>
      </c>
      <c r="F9" s="6" t="s">
        <v>2</v>
      </c>
      <c r="G9" s="4">
        <f>IF(Prestations[[#This Row],[Taxes]]="TTC",Prestations[[#This Row],[Cout]],Prestations[[#This Row],[Cout]]*1.2)</f>
        <v>10770</v>
      </c>
      <c r="H9" s="2" t="s">
        <v>174</v>
      </c>
    </row>
    <row r="10" spans="1:9" x14ac:dyDescent="0.25">
      <c r="A10" s="2" t="s">
        <v>169</v>
      </c>
      <c r="B10" s="2" t="s">
        <v>185</v>
      </c>
      <c r="C10" s="2" t="s">
        <v>70</v>
      </c>
      <c r="D10" t="s">
        <v>178</v>
      </c>
      <c r="E10" s="4">
        <v>25000</v>
      </c>
      <c r="F10" s="6" t="s">
        <v>2</v>
      </c>
      <c r="G10" s="4">
        <f>IF(Prestations[[#This Row],[Taxes]]="TTC",Prestations[[#This Row],[Cout]],Prestations[[#This Row],[Cout]]*1.2)</f>
        <v>25000</v>
      </c>
      <c r="H10" s="2" t="s">
        <v>171</v>
      </c>
    </row>
    <row r="11" spans="1:9" ht="30" x14ac:dyDescent="0.25">
      <c r="A11" s="2" t="s">
        <v>9</v>
      </c>
      <c r="B11" s="2" t="s">
        <v>113</v>
      </c>
      <c r="D11" t="s">
        <v>10</v>
      </c>
      <c r="E11" s="4">
        <v>3000</v>
      </c>
      <c r="F11" s="6" t="s">
        <v>2</v>
      </c>
      <c r="G11" s="4">
        <f>IF(Prestations[[#This Row],[Taxes]]="TTC",Prestations[[#This Row],[Cout]],Prestations[[#This Row],[Cout]]*1.2)</f>
        <v>3000</v>
      </c>
    </row>
    <row r="12" spans="1:9" ht="30" x14ac:dyDescent="0.25">
      <c r="A12" s="2" t="s">
        <v>9</v>
      </c>
      <c r="B12" s="2" t="s">
        <v>112</v>
      </c>
      <c r="D12" t="s">
        <v>11</v>
      </c>
      <c r="E12" s="4">
        <v>2460</v>
      </c>
      <c r="F12" s="6" t="s">
        <v>2</v>
      </c>
      <c r="G12" s="4">
        <f>IF(Prestations[[#This Row],[Taxes]]="TTC",Prestations[[#This Row],[Cout]],Prestations[[#This Row],[Cout]]*1.2)</f>
        <v>2460</v>
      </c>
    </row>
    <row r="13" spans="1:9" ht="30" x14ac:dyDescent="0.25">
      <c r="A13" s="2" t="s">
        <v>28</v>
      </c>
      <c r="B13" s="2" t="s">
        <v>28</v>
      </c>
      <c r="C13" s="2" t="s">
        <v>67</v>
      </c>
      <c r="D13" t="s">
        <v>27</v>
      </c>
      <c r="E13" s="4">
        <v>1051.2</v>
      </c>
      <c r="F13" s="6" t="s">
        <v>2</v>
      </c>
      <c r="G13" s="4">
        <f>IF(Prestations[[#This Row],[Taxes]]="TTC",Prestations[[#This Row],[Cout]],Prestations[[#This Row],[Cout]]*1.2)</f>
        <v>1051.2</v>
      </c>
      <c r="H13" s="2" t="s">
        <v>28</v>
      </c>
    </row>
    <row r="14" spans="1:9" x14ac:dyDescent="0.25">
      <c r="A14" s="2" t="s">
        <v>8</v>
      </c>
      <c r="B14" s="2" t="s">
        <v>116</v>
      </c>
      <c r="C14" t="s">
        <v>66</v>
      </c>
      <c r="D14" t="s">
        <v>90</v>
      </c>
      <c r="E14" s="4">
        <v>748.15</v>
      </c>
      <c r="F14" s="6" t="s">
        <v>2</v>
      </c>
      <c r="G14" s="4">
        <f>IF(Prestations[[#This Row],[Taxes]]="TTC",Prestations[[#This Row],[Cout]],Prestations[[#This Row],[Cout]]*1.2)</f>
        <v>748.15</v>
      </c>
      <c r="H14" s="2" t="s">
        <v>91</v>
      </c>
      <c r="I14" t="s">
        <v>202</v>
      </c>
    </row>
    <row r="15" spans="1:9" ht="30" x14ac:dyDescent="0.25">
      <c r="A15" s="2" t="s">
        <v>5</v>
      </c>
      <c r="B15" s="2" t="s">
        <v>115</v>
      </c>
      <c r="C15" t="s">
        <v>65</v>
      </c>
      <c r="D15" t="s">
        <v>6</v>
      </c>
      <c r="E15" s="4">
        <v>6096.65</v>
      </c>
      <c r="F15" s="6" t="s">
        <v>2</v>
      </c>
      <c r="G15" s="4">
        <f>IF(Prestations[[#This Row],[Taxes]]="TTC",Prestations[[#This Row],[Cout]],Prestations[[#This Row],[Cout]]*1.2)</f>
        <v>6096.65</v>
      </c>
      <c r="H15" s="2" t="s">
        <v>100</v>
      </c>
      <c r="I15" t="s">
        <v>202</v>
      </c>
    </row>
    <row r="16" spans="1:9" x14ac:dyDescent="0.25">
      <c r="A16" s="2" t="s">
        <v>5</v>
      </c>
      <c r="B16" s="2" t="s">
        <v>114</v>
      </c>
      <c r="C16" t="s">
        <v>65</v>
      </c>
      <c r="D16" t="s">
        <v>7</v>
      </c>
      <c r="E16" s="4">
        <v>7502.9</v>
      </c>
      <c r="F16" s="6" t="s">
        <v>2</v>
      </c>
      <c r="G16" s="4">
        <f>IF(Prestations[[#This Row],[Taxes]]="TTC",Prestations[[#This Row],[Cout]],Prestations[[#This Row],[Cout]]*1.2)</f>
        <v>7502.9</v>
      </c>
      <c r="H16" s="2" t="s">
        <v>101</v>
      </c>
    </row>
    <row r="17" spans="1:9" ht="30" x14ac:dyDescent="0.25">
      <c r="A17" s="2" t="s">
        <v>20</v>
      </c>
      <c r="B17" s="2" t="s">
        <v>126</v>
      </c>
      <c r="C17" t="s">
        <v>72</v>
      </c>
      <c r="D17" t="s">
        <v>80</v>
      </c>
      <c r="E17" s="4">
        <f>16750</f>
        <v>16750</v>
      </c>
      <c r="F17" s="6" t="s">
        <v>2</v>
      </c>
      <c r="G17" s="4">
        <f>IF(Prestations[[#This Row],[Taxes]]="TTC",Prestations[[#This Row],[Cout]],Prestations[[#This Row],[Cout]]*1.2)</f>
        <v>16750</v>
      </c>
      <c r="H17" s="2" t="s">
        <v>199</v>
      </c>
    </row>
    <row r="18" spans="1:9" ht="30" x14ac:dyDescent="0.25">
      <c r="A18" s="2" t="s">
        <v>20</v>
      </c>
      <c r="B18" s="2" t="s">
        <v>201</v>
      </c>
      <c r="C18" t="s">
        <v>72</v>
      </c>
      <c r="D18" t="s">
        <v>80</v>
      </c>
      <c r="E18" s="4">
        <f>887</f>
        <v>887</v>
      </c>
      <c r="F18" s="6" t="s">
        <v>2</v>
      </c>
      <c r="G18" s="4">
        <f>IF(Prestations[[#This Row],[Taxes]]="TTC",Prestations[[#This Row],[Cout]],Prestations[[#This Row],[Cout]]*1.2)</f>
        <v>887</v>
      </c>
      <c r="H18" s="2" t="s">
        <v>135</v>
      </c>
    </row>
    <row r="19" spans="1:9" ht="30" x14ac:dyDescent="0.25">
      <c r="A19" s="2" t="s">
        <v>20</v>
      </c>
      <c r="B19" s="2" t="s">
        <v>128</v>
      </c>
      <c r="C19" t="s">
        <v>72</v>
      </c>
      <c r="D19" t="s">
        <v>22</v>
      </c>
      <c r="F19" s="6" t="s">
        <v>2</v>
      </c>
      <c r="G19" s="4">
        <f>IF(Prestations[[#This Row],[Taxes]]="TTC",Prestations[[#This Row],[Cout]],Prestations[[#This Row],[Cout]]*1.2)</f>
        <v>0</v>
      </c>
      <c r="H19" t="s">
        <v>132</v>
      </c>
    </row>
    <row r="20" spans="1:9" ht="30" x14ac:dyDescent="0.25">
      <c r="A20" s="2" t="s">
        <v>20</v>
      </c>
      <c r="B20" s="2" t="s">
        <v>127</v>
      </c>
      <c r="C20" t="s">
        <v>72</v>
      </c>
      <c r="D20" t="s">
        <v>21</v>
      </c>
      <c r="F20" s="6" t="s">
        <v>2</v>
      </c>
      <c r="G20" s="4">
        <f>IF(Prestations[[#This Row],[Taxes]]="TTC",Prestations[[#This Row],[Cout]],Prestations[[#This Row],[Cout]]*1.2)</f>
        <v>0</v>
      </c>
      <c r="H20" t="s">
        <v>132</v>
      </c>
    </row>
    <row r="21" spans="1:9" x14ac:dyDescent="0.25">
      <c r="A21" s="2" t="s">
        <v>12</v>
      </c>
      <c r="B21" s="2" t="s">
        <v>119</v>
      </c>
      <c r="C21" t="s">
        <v>55</v>
      </c>
      <c r="D21" t="s">
        <v>105</v>
      </c>
      <c r="E21" s="4">
        <f>1140*12</f>
        <v>13680</v>
      </c>
      <c r="F21" s="6" t="s">
        <v>2</v>
      </c>
      <c r="G21" s="4">
        <f>IF(Prestations[[#This Row],[Taxes]]="TTC",Prestations[[#This Row],[Cout]],Prestations[[#This Row],[Cout]]*1.2)</f>
        <v>13680</v>
      </c>
      <c r="H21" s="2" t="s">
        <v>102</v>
      </c>
    </row>
    <row r="22" spans="1:9" x14ac:dyDescent="0.25">
      <c r="A22" s="2" t="s">
        <v>12</v>
      </c>
      <c r="B22" s="2" t="s">
        <v>117</v>
      </c>
      <c r="C22" t="s">
        <v>55</v>
      </c>
      <c r="D22" t="s">
        <v>108</v>
      </c>
      <c r="E22" s="4">
        <f>2836.8*12</f>
        <v>34041.600000000006</v>
      </c>
      <c r="F22" s="6" t="s">
        <v>2</v>
      </c>
      <c r="G22" s="4">
        <f>IF(Prestations[[#This Row],[Taxes]]="TTC",Prestations[[#This Row],[Cout]],Prestations[[#This Row],[Cout]]*1.2)</f>
        <v>34041.600000000006</v>
      </c>
      <c r="H22" s="2" t="s">
        <v>103</v>
      </c>
    </row>
    <row r="23" spans="1:9" x14ac:dyDescent="0.25">
      <c r="A23" s="2" t="s">
        <v>12</v>
      </c>
      <c r="B23" s="2" t="s">
        <v>118</v>
      </c>
      <c r="C23" t="s">
        <v>55</v>
      </c>
      <c r="D23" t="s">
        <v>105</v>
      </c>
      <c r="E23" s="4">
        <f>1518*12</f>
        <v>18216</v>
      </c>
      <c r="F23" s="6" t="s">
        <v>2</v>
      </c>
      <c r="G23" s="4">
        <f>IF(Prestations[[#This Row],[Taxes]]="TTC",Prestations[[#This Row],[Cout]],Prestations[[#This Row],[Cout]]*1.2)</f>
        <v>18216</v>
      </c>
      <c r="H23" s="2" t="s">
        <v>103</v>
      </c>
      <c r="I23" t="s">
        <v>202</v>
      </c>
    </row>
    <row r="24" spans="1:9" ht="60" x14ac:dyDescent="0.25">
      <c r="A24" s="2" t="s">
        <v>18</v>
      </c>
      <c r="B24" s="2" t="s">
        <v>123</v>
      </c>
      <c r="C24" t="s">
        <v>73</v>
      </c>
      <c r="D24" t="s">
        <v>109</v>
      </c>
      <c r="E24" s="4">
        <v>516</v>
      </c>
      <c r="F24" s="6" t="s">
        <v>2</v>
      </c>
      <c r="G24" s="4">
        <f>IF(Prestations[[#This Row],[Taxes]]="TTC",Prestations[[#This Row],[Cout]],Prestations[[#This Row],[Cout]]*1.2)</f>
        <v>516</v>
      </c>
      <c r="H24" s="2" t="s">
        <v>129</v>
      </c>
    </row>
    <row r="25" spans="1:9" ht="60" x14ac:dyDescent="0.25">
      <c r="A25" s="2" t="s">
        <v>18</v>
      </c>
      <c r="B25" s="2" t="s">
        <v>124</v>
      </c>
      <c r="C25" t="s">
        <v>73</v>
      </c>
      <c r="D25" t="s">
        <v>109</v>
      </c>
      <c r="E25" s="4">
        <v>456</v>
      </c>
      <c r="F25" s="6" t="s">
        <v>2</v>
      </c>
      <c r="G25" s="4">
        <f>IF(Prestations[[#This Row],[Taxes]]="TTC",Prestations[[#This Row],[Cout]],Prestations[[#This Row],[Cout]]*1.2)</f>
        <v>456</v>
      </c>
      <c r="H25" s="2" t="s">
        <v>130</v>
      </c>
    </row>
    <row r="26" spans="1:9" ht="225" x14ac:dyDescent="0.25">
      <c r="A26" s="2" t="s">
        <v>18</v>
      </c>
      <c r="B26" s="2" t="s">
        <v>125</v>
      </c>
      <c r="C26" t="s">
        <v>73</v>
      </c>
      <c r="D26" t="s">
        <v>19</v>
      </c>
      <c r="E26" s="4">
        <v>660</v>
      </c>
      <c r="F26" s="6" t="s">
        <v>2</v>
      </c>
      <c r="G26" s="4">
        <f>IF(Prestations[[#This Row],[Taxes]]="TTC",Prestations[[#This Row],[Cout]],Prestations[[#This Row],[Cout]]*1.2)</f>
        <v>660</v>
      </c>
      <c r="H26" s="2" t="s">
        <v>131</v>
      </c>
    </row>
    <row r="27" spans="1:9" x14ac:dyDescent="0.25">
      <c r="A27" s="2" t="s">
        <v>18</v>
      </c>
      <c r="B27" s="2" t="s">
        <v>203</v>
      </c>
      <c r="C27" t="s">
        <v>73</v>
      </c>
      <c r="D27" t="s">
        <v>204</v>
      </c>
      <c r="E27" s="4">
        <v>434.5</v>
      </c>
      <c r="F27" s="6" t="s">
        <v>2</v>
      </c>
      <c r="G27" s="4">
        <f>IF(Prestations[[#This Row],[Taxes]]="TTC",Prestations[[#This Row],[Cout]],Prestations[[#This Row],[Cout]]*1.2)</f>
        <v>434.5</v>
      </c>
      <c r="H27" s="2" t="s">
        <v>205</v>
      </c>
      <c r="I27" s="2" t="s">
        <v>202</v>
      </c>
    </row>
    <row r="28" spans="1:9" x14ac:dyDescent="0.25">
      <c r="A28" s="2" t="s">
        <v>13</v>
      </c>
      <c r="B28" s="2" t="s">
        <v>137</v>
      </c>
      <c r="C28" t="s">
        <v>85</v>
      </c>
      <c r="D28" t="s">
        <v>79</v>
      </c>
      <c r="E28" s="4">
        <v>2400</v>
      </c>
      <c r="F28" s="6" t="s">
        <v>1</v>
      </c>
      <c r="G28" s="4">
        <f>IF(Prestations[[#This Row],[Taxes]]="TTC",Prestations[[#This Row],[Cout]],Prestations[[#This Row],[Cout]]*1.2)</f>
        <v>2880</v>
      </c>
      <c r="H28" s="2" t="s">
        <v>133</v>
      </c>
      <c r="I28" t="s">
        <v>202</v>
      </c>
    </row>
    <row r="29" spans="1:9" x14ac:dyDescent="0.25">
      <c r="A29" s="2" t="s">
        <v>13</v>
      </c>
      <c r="B29" s="2" t="s">
        <v>140</v>
      </c>
      <c r="C29" t="s">
        <v>86</v>
      </c>
      <c r="D29" t="s">
        <v>79</v>
      </c>
      <c r="E29" s="4">
        <v>2400</v>
      </c>
      <c r="F29" s="6" t="s">
        <v>1</v>
      </c>
      <c r="G29" s="4">
        <f>IF(Prestations[[#This Row],[Taxes]]="TTC",Prestations[[#This Row],[Cout]],Prestations[[#This Row],[Cout]]*1.2)</f>
        <v>2880</v>
      </c>
      <c r="H29" s="2" t="s">
        <v>133</v>
      </c>
      <c r="I29" t="s">
        <v>202</v>
      </c>
    </row>
    <row r="30" spans="1:9" x14ac:dyDescent="0.25">
      <c r="A30" s="2" t="s">
        <v>13</v>
      </c>
      <c r="B30" s="2" t="s">
        <v>142</v>
      </c>
      <c r="C30" t="s">
        <v>87</v>
      </c>
      <c r="D30" t="s">
        <v>79</v>
      </c>
      <c r="E30" s="4">
        <v>2450</v>
      </c>
      <c r="F30" s="6" t="s">
        <v>1</v>
      </c>
      <c r="G30" s="4">
        <f>IF(Prestations[[#This Row],[Taxes]]="TTC",Prestations[[#This Row],[Cout]],Prestations[[#This Row],[Cout]]*1.2)</f>
        <v>2940</v>
      </c>
      <c r="H30" s="2" t="s">
        <v>133</v>
      </c>
      <c r="I30" t="s">
        <v>202</v>
      </c>
    </row>
    <row r="31" spans="1:9" x14ac:dyDescent="0.25">
      <c r="A31" s="2" t="s">
        <v>13</v>
      </c>
      <c r="B31" s="2" t="s">
        <v>144</v>
      </c>
      <c r="C31" t="s">
        <v>88</v>
      </c>
      <c r="D31" t="s">
        <v>79</v>
      </c>
      <c r="E31" s="4">
        <v>2200</v>
      </c>
      <c r="F31" s="6" t="s">
        <v>1</v>
      </c>
      <c r="G31" s="4">
        <f>IF(Prestations[[#This Row],[Taxes]]="TTC",Prestations[[#This Row],[Cout]],Prestations[[#This Row],[Cout]]*1.2)</f>
        <v>2640</v>
      </c>
      <c r="H31" s="2" t="s">
        <v>134</v>
      </c>
      <c r="I31" t="s">
        <v>202</v>
      </c>
    </row>
    <row r="32" spans="1:9" x14ac:dyDescent="0.25">
      <c r="A32" s="2" t="s">
        <v>25</v>
      </c>
      <c r="B32" s="2" t="s">
        <v>25</v>
      </c>
      <c r="D32" t="s">
        <v>26</v>
      </c>
      <c r="E32" s="4">
        <v>160</v>
      </c>
      <c r="F32" s="6" t="s">
        <v>2</v>
      </c>
      <c r="G32" s="4">
        <f>IF(Prestations[[#This Row],[Taxes]]="TTC",Prestations[[#This Row],[Cout]],Prestations[[#This Row],[Cout]]*1.2)</f>
        <v>160</v>
      </c>
    </row>
    <row r="33" spans="1:9" x14ac:dyDescent="0.25">
      <c r="A33" s="2" t="s">
        <v>12</v>
      </c>
      <c r="B33" s="2" t="s">
        <v>111</v>
      </c>
      <c r="C33" t="s">
        <v>55</v>
      </c>
      <c r="D33" t="s">
        <v>108</v>
      </c>
      <c r="E33" s="4">
        <f>2400*12</f>
        <v>28800</v>
      </c>
      <c r="F33" s="6" t="s">
        <v>2</v>
      </c>
      <c r="G33" s="4">
        <f>IF(Prestations[[#This Row],[Taxes]]="TTC",Prestations[[#This Row],[Cout]],Prestations[[#This Row],[Cout]]*1.2)</f>
        <v>28800</v>
      </c>
      <c r="H33" s="2" t="s">
        <v>107</v>
      </c>
    </row>
    <row r="34" spans="1:9" x14ac:dyDescent="0.25">
      <c r="A34" s="2" t="s">
        <v>12</v>
      </c>
      <c r="B34" s="2" t="s">
        <v>110</v>
      </c>
      <c r="C34" t="s">
        <v>55</v>
      </c>
      <c r="D34" t="s">
        <v>108</v>
      </c>
      <c r="E34" s="4">
        <f>1320*12</f>
        <v>15840</v>
      </c>
      <c r="F34" s="6" t="s">
        <v>2</v>
      </c>
      <c r="G34" s="4">
        <f>IF(Prestations[[#This Row],[Taxes]]="TTC",Prestations[[#This Row],[Cout]],Prestations[[#This Row],[Cout]]*1.2)</f>
        <v>15840</v>
      </c>
      <c r="H34" s="2" t="s">
        <v>106</v>
      </c>
    </row>
    <row r="35" spans="1:9" x14ac:dyDescent="0.25">
      <c r="A35" s="2" t="s">
        <v>14</v>
      </c>
      <c r="B35" s="2" t="s">
        <v>122</v>
      </c>
      <c r="D35" t="s">
        <v>17</v>
      </c>
      <c r="E35" s="4">
        <v>3198.13</v>
      </c>
      <c r="F35" s="6" t="s">
        <v>2</v>
      </c>
      <c r="G35" s="4">
        <f>IF(Prestations[[#This Row],[Taxes]]="TTC",Prestations[[#This Row],[Cout]],Prestations[[#This Row],[Cout]]*1.2)</f>
        <v>3198.13</v>
      </c>
    </row>
    <row r="36" spans="1:9" x14ac:dyDescent="0.25">
      <c r="A36" s="2" t="s">
        <v>14</v>
      </c>
      <c r="B36" s="2" t="s">
        <v>121</v>
      </c>
      <c r="D36" t="s">
        <v>16</v>
      </c>
      <c r="E36" s="4">
        <v>3322.8</v>
      </c>
      <c r="F36" s="6" t="s">
        <v>2</v>
      </c>
      <c r="G36" s="4">
        <f>IF(Prestations[[#This Row],[Taxes]]="TTC",Prestations[[#This Row],[Cout]],Prestations[[#This Row],[Cout]]*1.2)</f>
        <v>3322.8</v>
      </c>
    </row>
    <row r="37" spans="1:9" x14ac:dyDescent="0.25">
      <c r="A37" s="2" t="s">
        <v>14</v>
      </c>
      <c r="B37" s="2" t="s">
        <v>120</v>
      </c>
      <c r="D37" t="s">
        <v>15</v>
      </c>
      <c r="E37" s="4">
        <v>3138.27</v>
      </c>
      <c r="F37" s="6" t="s">
        <v>2</v>
      </c>
      <c r="G37" s="4">
        <f>IF(Prestations[[#This Row],[Taxes]]="TTC",Prestations[[#This Row],[Cout]],Prestations[[#This Row],[Cout]]*1.2)</f>
        <v>3138.27</v>
      </c>
    </row>
    <row r="38" spans="1:9" x14ac:dyDescent="0.25">
      <c r="A38" s="2" t="s">
        <v>13</v>
      </c>
      <c r="B38" s="2" t="s">
        <v>138</v>
      </c>
      <c r="C38" t="s">
        <v>85</v>
      </c>
      <c r="D38" t="s">
        <v>79</v>
      </c>
      <c r="E38" s="4">
        <v>240</v>
      </c>
      <c r="F38" s="6" t="s">
        <v>1</v>
      </c>
      <c r="G38" s="4">
        <f>IF(Prestations[[#This Row],[Taxes]]="TTC",Prestations[[#This Row],[Cout]],Prestations[[#This Row],[Cout]]*1.2)</f>
        <v>288</v>
      </c>
      <c r="H38" s="2" t="s">
        <v>133</v>
      </c>
    </row>
    <row r="39" spans="1:9" x14ac:dyDescent="0.25">
      <c r="A39" s="2" t="s">
        <v>13</v>
      </c>
      <c r="B39" s="2" t="s">
        <v>139</v>
      </c>
      <c r="C39" t="s">
        <v>86</v>
      </c>
      <c r="D39" t="s">
        <v>79</v>
      </c>
      <c r="E39" s="4">
        <v>240</v>
      </c>
      <c r="F39" s="6" t="s">
        <v>1</v>
      </c>
      <c r="G39" s="4">
        <f>IF(Prestations[[#This Row],[Taxes]]="TTC",Prestations[[#This Row],[Cout]],Prestations[[#This Row],[Cout]]*1.2)</f>
        <v>288</v>
      </c>
      <c r="H39" s="2" t="s">
        <v>133</v>
      </c>
    </row>
    <row r="40" spans="1:9" x14ac:dyDescent="0.25">
      <c r="A40" s="2" t="s">
        <v>13</v>
      </c>
      <c r="B40" s="2" t="s">
        <v>141</v>
      </c>
      <c r="C40" t="s">
        <v>87</v>
      </c>
      <c r="D40" t="s">
        <v>79</v>
      </c>
      <c r="E40" s="4">
        <v>240</v>
      </c>
      <c r="F40" s="6" t="s">
        <v>1</v>
      </c>
      <c r="G40" s="4">
        <f>IF(Prestations[[#This Row],[Taxes]]="TTC",Prestations[[#This Row],[Cout]],Prestations[[#This Row],[Cout]]*1.2)</f>
        <v>288</v>
      </c>
      <c r="H40" s="2" t="s">
        <v>133</v>
      </c>
    </row>
    <row r="41" spans="1:9" x14ac:dyDescent="0.25">
      <c r="A41" s="2" t="s">
        <v>13</v>
      </c>
      <c r="B41" s="2" t="s">
        <v>143</v>
      </c>
      <c r="C41" t="s">
        <v>88</v>
      </c>
      <c r="D41" t="s">
        <v>79</v>
      </c>
      <c r="E41" s="4">
        <v>240</v>
      </c>
      <c r="F41" s="6" t="s">
        <v>1</v>
      </c>
      <c r="G41" s="4">
        <f>IF(Prestations[[#This Row],[Taxes]]="TTC",Prestations[[#This Row],[Cout]],Prestations[[#This Row],[Cout]]*1.2)</f>
        <v>288</v>
      </c>
      <c r="H41" s="2" t="s">
        <v>133</v>
      </c>
    </row>
    <row r="42" spans="1:9" x14ac:dyDescent="0.25">
      <c r="A42" s="2" t="s">
        <v>98</v>
      </c>
      <c r="B42" s="2" t="s">
        <v>179</v>
      </c>
      <c r="C42" s="2" t="s">
        <v>67</v>
      </c>
      <c r="D42" t="s">
        <v>178</v>
      </c>
      <c r="E42" s="5">
        <v>10000</v>
      </c>
      <c r="F42" s="7" t="s">
        <v>2</v>
      </c>
      <c r="G42" s="5">
        <f>IF(Prestations[[#This Row],[Taxes]]="TTC",Prestations[[#This Row],[Cout]],Prestations[[#This Row],[Cout]]*1.2)</f>
        <v>10000</v>
      </c>
      <c r="H42" s="3"/>
      <c r="I42" s="2"/>
    </row>
    <row r="43" spans="1:9" x14ac:dyDescent="0.25">
      <c r="A43" s="2" t="s">
        <v>98</v>
      </c>
      <c r="B43" s="2" t="s">
        <v>181</v>
      </c>
      <c r="C43" s="2" t="s">
        <v>67</v>
      </c>
      <c r="D43" t="s">
        <v>178</v>
      </c>
      <c r="E43" s="5">
        <v>12500</v>
      </c>
      <c r="F43" s="7" t="s">
        <v>2</v>
      </c>
      <c r="G43" s="5">
        <f>IF(Prestations[[#This Row],[Taxes]]="TTC",Prestations[[#This Row],[Cout]],Prestations[[#This Row],[Cout]]*1.2)</f>
        <v>12500</v>
      </c>
      <c r="H43" s="3"/>
      <c r="I43" s="2"/>
    </row>
    <row r="44" spans="1:9" x14ac:dyDescent="0.25">
      <c r="A44" s="2" t="s">
        <v>98</v>
      </c>
      <c r="B44" s="2" t="s">
        <v>180</v>
      </c>
      <c r="C44" s="2" t="s">
        <v>67</v>
      </c>
      <c r="D44" t="s">
        <v>178</v>
      </c>
      <c r="E44" s="5">
        <v>15000</v>
      </c>
      <c r="F44" s="7" t="s">
        <v>2</v>
      </c>
      <c r="G44" s="5">
        <f>IF(Prestations[[#This Row],[Taxes]]="TTC",Prestations[[#This Row],[Cout]],Prestations[[#This Row],[Cout]]*1.2)</f>
        <v>15000</v>
      </c>
      <c r="H44" s="3"/>
      <c r="I44" s="2"/>
    </row>
    <row r="45" spans="1:9" x14ac:dyDescent="0.25">
      <c r="A45" s="2" t="s">
        <v>98</v>
      </c>
      <c r="B45" s="2" t="s">
        <v>98</v>
      </c>
      <c r="C45" s="2" t="s">
        <v>67</v>
      </c>
      <c r="D45" t="s">
        <v>27</v>
      </c>
      <c r="E45" s="5">
        <v>16800</v>
      </c>
      <c r="F45" s="7" t="s">
        <v>2</v>
      </c>
      <c r="G45" s="5">
        <f>IF(Prestations[[#This Row],[Taxes]]="TTC",Prestations[[#This Row],[Cout]],Prestations[[#This Row],[Cout]]*1.2)</f>
        <v>16800</v>
      </c>
      <c r="H45" s="3" t="s">
        <v>99</v>
      </c>
      <c r="I45" s="2" t="s">
        <v>202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C2"/>
  <sheetViews>
    <sheetView tabSelected="1" workbookViewId="0">
      <selection activeCell="B3" sqref="B3"/>
    </sheetView>
  </sheetViews>
  <sheetFormatPr defaultRowHeight="15" x14ac:dyDescent="0.25"/>
  <cols>
    <col min="1" max="1" width="19.5703125" bestFit="1" customWidth="1"/>
    <col min="2" max="2" width="25.85546875" bestFit="1" customWidth="1"/>
    <col min="3" max="3" width="23.28515625" bestFit="1" customWidth="1"/>
  </cols>
  <sheetData>
    <row r="1" spans="1:3" x14ac:dyDescent="0.25">
      <c r="A1" t="s">
        <v>196</v>
      </c>
      <c r="B1" t="s">
        <v>195</v>
      </c>
      <c r="C1" t="s">
        <v>190</v>
      </c>
    </row>
    <row r="2" spans="1:3" x14ac:dyDescent="0.25">
      <c r="A2" t="s">
        <v>197</v>
      </c>
      <c r="B2">
        <f>5735*2.5</f>
        <v>14337.5</v>
      </c>
      <c r="C2">
        <v>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F3"/>
  <sheetViews>
    <sheetView workbookViewId="0">
      <selection activeCell="A3" sqref="A3"/>
    </sheetView>
  </sheetViews>
  <sheetFormatPr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33.85546875" bestFit="1" customWidth="1"/>
  </cols>
  <sheetData>
    <row r="1" spans="1:6" x14ac:dyDescent="0.25">
      <c r="A1" t="s">
        <v>191</v>
      </c>
      <c r="B1" t="s">
        <v>192</v>
      </c>
      <c r="C1" s="1" t="s">
        <v>193</v>
      </c>
      <c r="D1" t="s">
        <v>200</v>
      </c>
      <c r="E1" t="s">
        <v>198</v>
      </c>
      <c r="F1" t="s">
        <v>136</v>
      </c>
    </row>
    <row r="2" spans="1:6" x14ac:dyDescent="0.25">
      <c r="A2" t="s">
        <v>216</v>
      </c>
      <c r="B2" s="11" t="s">
        <v>70</v>
      </c>
      <c r="C2" s="1">
        <f>392*1.2/4900</f>
        <v>9.6000000000000002E-2</v>
      </c>
      <c r="D2">
        <v>130</v>
      </c>
      <c r="E2">
        <v>1</v>
      </c>
      <c r="F2" t="s">
        <v>409</v>
      </c>
    </row>
    <row r="3" spans="1:6" x14ac:dyDescent="0.25">
      <c r="A3" t="s">
        <v>194</v>
      </c>
      <c r="B3" t="s">
        <v>71</v>
      </c>
      <c r="C3" s="1">
        <v>0.12559999999999999</v>
      </c>
      <c r="D3">
        <v>225</v>
      </c>
      <c r="E3">
        <v>2</v>
      </c>
      <c r="F3" t="s">
        <v>228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2026-08-09T21:32:30Z</dcterms:modified>
</cp:coreProperties>
</file>